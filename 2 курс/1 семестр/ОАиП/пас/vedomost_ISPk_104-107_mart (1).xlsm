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3D1A710C-6663-3D7B-7F91-EC182F24A4BC}"/>
  <workbookPr codeName="ЭтаКнига"/>
  <bookViews>
    <workbookView xWindow="0" yWindow="0" windowWidth="18984" windowHeight="9060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Посещаемость!$A$1:$BI$50</definedName>
    <definedName name="_xlnm.Print_Area" localSheetId="0">Успеваемость!$A$1:$Q$68</definedName>
  </definedNames>
  <calcPr calcId="125725"/>
</workbook>
</file>

<file path=xl/calcChain.xml><?xml version="1.0" encoding="utf-8"?>
<calcChain xmlns="http://schemas.openxmlformats.org/spreadsheetml/2006/main">
  <c r="C43" i="3"/>
  <c r="A43" i="5"/>
  <c r="A44"/>
  <c r="A45"/>
  <c r="A36"/>
  <c r="A37"/>
  <c r="A38"/>
  <c r="A39"/>
  <c r="A40"/>
  <c r="A41"/>
  <c r="A42"/>
  <c r="A35"/>
  <c r="AE6" l="1"/>
  <c r="B15"/>
  <c r="B42" l="1"/>
  <c r="BF42" s="1"/>
  <c r="B43"/>
  <c r="BH43" s="1"/>
  <c r="B44"/>
  <c r="BF44" s="1"/>
  <c r="B45"/>
  <c r="R12" i="3"/>
  <c r="S12"/>
  <c r="U12"/>
  <c r="X12"/>
  <c r="B16" i="5"/>
  <c r="BF16" s="1"/>
  <c r="B17"/>
  <c r="BF17" s="1"/>
  <c r="B18"/>
  <c r="BF18" s="1"/>
  <c r="B19"/>
  <c r="BF19" s="1"/>
  <c r="B20"/>
  <c r="BF20" s="1"/>
  <c r="B21"/>
  <c r="BF21" s="1"/>
  <c r="B22"/>
  <c r="BF22" s="1"/>
  <c r="B23"/>
  <c r="BF23" s="1"/>
  <c r="B24"/>
  <c r="BF24" s="1"/>
  <c r="B25"/>
  <c r="BF25" s="1"/>
  <c r="B26"/>
  <c r="BF26" s="1"/>
  <c r="B27"/>
  <c r="BF27" s="1"/>
  <c r="B28"/>
  <c r="BF28" s="1"/>
  <c r="B29"/>
  <c r="BF29" s="1"/>
  <c r="B30"/>
  <c r="BF30" s="1"/>
  <c r="B31"/>
  <c r="BF31" s="1"/>
  <c r="B32"/>
  <c r="BF32" s="1"/>
  <c r="B33"/>
  <c r="BG33" s="1"/>
  <c r="B34"/>
  <c r="BG34" s="1"/>
  <c r="B35"/>
  <c r="BF35" s="1"/>
  <c r="B36"/>
  <c r="BF36" s="1"/>
  <c r="B37"/>
  <c r="BF37" s="1"/>
  <c r="B38"/>
  <c r="BH38" s="1"/>
  <c r="B39"/>
  <c r="BF39" s="1"/>
  <c r="B40"/>
  <c r="BG40" s="1"/>
  <c r="B41"/>
  <c r="BG41" s="1"/>
  <c r="R13" i="3"/>
  <c r="S13"/>
  <c r="U13"/>
  <c r="X13"/>
  <c r="R14"/>
  <c r="S14"/>
  <c r="U14"/>
  <c r="X14"/>
  <c r="R15"/>
  <c r="S15"/>
  <c r="U15"/>
  <c r="X15"/>
  <c r="R16"/>
  <c r="S16"/>
  <c r="U16"/>
  <c r="X16"/>
  <c r="R17"/>
  <c r="S17"/>
  <c r="U17"/>
  <c r="X17"/>
  <c r="R18"/>
  <c r="S18"/>
  <c r="U18"/>
  <c r="X18"/>
  <c r="R19"/>
  <c r="S19"/>
  <c r="U19"/>
  <c r="X19"/>
  <c r="R20"/>
  <c r="S20"/>
  <c r="U20"/>
  <c r="X20"/>
  <c r="R21"/>
  <c r="S21"/>
  <c r="U21"/>
  <c r="X21"/>
  <c r="R22"/>
  <c r="S22"/>
  <c r="U22"/>
  <c r="X22"/>
  <c r="R23"/>
  <c r="S23"/>
  <c r="U23"/>
  <c r="X23"/>
  <c r="R24"/>
  <c r="S24"/>
  <c r="U24"/>
  <c r="X24"/>
  <c r="R25"/>
  <c r="S25"/>
  <c r="U25"/>
  <c r="X25"/>
  <c r="R26"/>
  <c r="S26"/>
  <c r="U26"/>
  <c r="X26"/>
  <c r="R27"/>
  <c r="S27"/>
  <c r="U27"/>
  <c r="X27"/>
  <c r="R28"/>
  <c r="S28"/>
  <c r="U28"/>
  <c r="X28"/>
  <c r="R29"/>
  <c r="S29"/>
  <c r="U29"/>
  <c r="X29"/>
  <c r="R30"/>
  <c r="S30"/>
  <c r="U30"/>
  <c r="X30"/>
  <c r="R31"/>
  <c r="S31"/>
  <c r="U31"/>
  <c r="X31"/>
  <c r="R32"/>
  <c r="S32"/>
  <c r="U32"/>
  <c r="X32"/>
  <c r="R33"/>
  <c r="S33"/>
  <c r="U33"/>
  <c r="X33"/>
  <c r="R34"/>
  <c r="S34"/>
  <c r="U34"/>
  <c r="X34"/>
  <c r="R35"/>
  <c r="S35"/>
  <c r="U35"/>
  <c r="X35"/>
  <c r="R36"/>
  <c r="S36"/>
  <c r="U36"/>
  <c r="X36"/>
  <c r="R37"/>
  <c r="S37"/>
  <c r="U37"/>
  <c r="X37"/>
  <c r="R38"/>
  <c r="S38"/>
  <c r="U38"/>
  <c r="X38"/>
  <c r="R39"/>
  <c r="S39"/>
  <c r="U39"/>
  <c r="X39"/>
  <c r="R40"/>
  <c r="S40"/>
  <c r="U40"/>
  <c r="X40"/>
  <c r="R41"/>
  <c r="S41"/>
  <c r="U41"/>
  <c r="X41"/>
  <c r="R42"/>
  <c r="S42"/>
  <c r="U42"/>
  <c r="X42"/>
  <c r="C50"/>
  <c r="A22" i="6"/>
  <c r="H22" s="1"/>
  <c r="A21"/>
  <c r="H21" s="1"/>
  <c r="A20"/>
  <c r="H20" s="1"/>
  <c r="A19"/>
  <c r="H19" s="1"/>
  <c r="A18"/>
  <c r="H18" s="1"/>
  <c r="A17"/>
  <c r="H17" s="1"/>
  <c r="A16"/>
  <c r="H16" s="1"/>
  <c r="A15"/>
  <c r="H15" s="1"/>
  <c r="A14"/>
  <c r="H14" s="1"/>
  <c r="A13"/>
  <c r="H13" s="1"/>
  <c r="A12"/>
  <c r="H12" s="1"/>
  <c r="A11"/>
  <c r="H11" s="1"/>
  <c r="A10"/>
  <c r="H10" s="1"/>
  <c r="B6"/>
  <c r="B7"/>
  <c r="D3"/>
  <c r="C3"/>
  <c r="B23" s="1"/>
  <c r="AI6" i="5"/>
  <c r="A8"/>
  <c r="D43" i="3"/>
  <c r="E43"/>
  <c r="BF15" i="5"/>
  <c r="A29"/>
  <c r="A30"/>
  <c r="A31"/>
  <c r="A32"/>
  <c r="A33"/>
  <c r="A34"/>
  <c r="D44" i="3"/>
  <c r="E44"/>
  <c r="F44"/>
  <c r="G44"/>
  <c r="H44"/>
  <c r="I44"/>
  <c r="J44"/>
  <c r="K44"/>
  <c r="L44"/>
  <c r="M44"/>
  <c r="N44"/>
  <c r="O44"/>
  <c r="D45"/>
  <c r="E45"/>
  <c r="F45"/>
  <c r="G45"/>
  <c r="H45"/>
  <c r="I45"/>
  <c r="J45"/>
  <c r="K45"/>
  <c r="L45"/>
  <c r="M45"/>
  <c r="N45"/>
  <c r="O45"/>
  <c r="D46"/>
  <c r="E46"/>
  <c r="F46"/>
  <c r="G46"/>
  <c r="H46"/>
  <c r="I46"/>
  <c r="J46"/>
  <c r="K46"/>
  <c r="L46"/>
  <c r="M46"/>
  <c r="N46"/>
  <c r="O46"/>
  <c r="BF45" i="5" l="1"/>
  <c r="BG45"/>
  <c r="BH44"/>
  <c r="BG43"/>
  <c r="BH45"/>
  <c r="BG44"/>
  <c r="BF43"/>
  <c r="BH42"/>
  <c r="BG42"/>
  <c r="BG15"/>
  <c r="BF34"/>
  <c r="BF33"/>
  <c r="BH16"/>
  <c r="BF41"/>
  <c r="BF40"/>
  <c r="BG37"/>
  <c r="BG38"/>
  <c r="BH35"/>
  <c r="BH40"/>
  <c r="BF38"/>
  <c r="BG35"/>
  <c r="BH33"/>
  <c r="BG16"/>
  <c r="BH37"/>
  <c r="BH39"/>
  <c r="BH32"/>
  <c r="BG39"/>
  <c r="BH36"/>
  <c r="BG32"/>
  <c r="BH41"/>
  <c r="BG36"/>
  <c r="BH34"/>
  <c r="BG22"/>
  <c r="BH31"/>
  <c r="BG31"/>
  <c r="BH30"/>
  <c r="BG30"/>
  <c r="BH29"/>
  <c r="BG29"/>
  <c r="BH28"/>
  <c r="BG28"/>
  <c r="BH27"/>
  <c r="BG27"/>
  <c r="BG26"/>
  <c r="BH26"/>
  <c r="BH25"/>
  <c r="BG25"/>
  <c r="BH24"/>
  <c r="BG24"/>
  <c r="BH23"/>
  <c r="BG23"/>
  <c r="BH22"/>
  <c r="BH21"/>
  <c r="BG21"/>
  <c r="BH20"/>
  <c r="BG20"/>
  <c r="BH19"/>
  <c r="BG19"/>
  <c r="BH18"/>
  <c r="BG18"/>
  <c r="BH17"/>
  <c r="BG17"/>
  <c r="G43" i="3"/>
  <c r="G47" s="1"/>
  <c r="BH15" i="5"/>
  <c r="F43" i="3"/>
  <c r="F47" s="1"/>
  <c r="E47"/>
  <c r="D47"/>
  <c r="G50" i="5" l="1"/>
  <c r="G49"/>
  <c r="G47"/>
  <c r="G48" s="1"/>
  <c r="A16"/>
  <c r="A17"/>
  <c r="A18"/>
  <c r="A19"/>
  <c r="A20"/>
  <c r="A21"/>
  <c r="A22"/>
  <c r="A23"/>
  <c r="A24"/>
  <c r="A25"/>
  <c r="A26"/>
  <c r="A27"/>
  <c r="A28"/>
  <c r="A15"/>
  <c r="F48" i="3" l="1"/>
  <c r="D49"/>
  <c r="G48"/>
  <c r="F49"/>
  <c r="G49"/>
  <c r="E48"/>
  <c r="D48"/>
  <c r="E49"/>
  <c r="R11"/>
  <c r="Z35" l="1"/>
  <c r="Z39"/>
  <c r="Z42"/>
  <c r="Z33"/>
  <c r="Z37"/>
  <c r="Z40"/>
  <c r="Z31"/>
  <c r="Z34"/>
  <c r="Z38"/>
  <c r="Z41"/>
  <c r="Z32"/>
  <c r="Z36"/>
  <c r="Z30"/>
  <c r="Z29"/>
  <c r="Z14"/>
  <c r="Z15"/>
  <c r="V25"/>
  <c r="V29"/>
  <c r="T33"/>
  <c r="Y40"/>
  <c r="Z13"/>
  <c r="W23"/>
  <c r="V28"/>
  <c r="W17"/>
  <c r="W31"/>
  <c r="W25"/>
  <c r="T37"/>
  <c r="T38"/>
  <c r="Z19"/>
  <c r="Z24"/>
  <c r="T27"/>
  <c r="Z12"/>
  <c r="V16"/>
  <c r="Z18"/>
  <c r="Y26"/>
  <c r="Z16"/>
  <c r="Z22"/>
  <c r="Z23"/>
  <c r="V35"/>
  <c r="T40"/>
  <c r="Y14"/>
  <c r="T19"/>
  <c r="Z27"/>
  <c r="V13"/>
  <c r="W15"/>
  <c r="V20"/>
  <c r="T23"/>
  <c r="V24"/>
  <c r="Z26"/>
  <c r="W37"/>
  <c r="V42"/>
  <c r="Y30"/>
  <c r="Y15"/>
  <c r="Y31"/>
  <c r="W20"/>
  <c r="T13"/>
  <c r="W41"/>
  <c r="Y34"/>
  <c r="W27"/>
  <c r="V33"/>
  <c r="T30"/>
  <c r="Z28"/>
  <c r="Y36"/>
  <c r="Y17"/>
  <c r="T32"/>
  <c r="Y35"/>
  <c r="V41"/>
  <c r="W24"/>
  <c r="V31"/>
  <c r="T31"/>
  <c r="T18"/>
  <c r="Y22"/>
  <c r="W19"/>
  <c r="T22"/>
  <c r="W13"/>
  <c r="W35"/>
  <c r="W28"/>
  <c r="Y24"/>
  <c r="W18"/>
  <c r="T21"/>
  <c r="Y42"/>
  <c r="Y21"/>
  <c r="Z21"/>
  <c r="Z20"/>
  <c r="T29"/>
  <c r="T17"/>
  <c r="Y33"/>
  <c r="Y13"/>
  <c r="V38"/>
  <c r="Y18"/>
  <c r="Y16"/>
  <c r="Y12"/>
  <c r="V30"/>
  <c r="Y41"/>
  <c r="W21"/>
  <c r="V19"/>
  <c r="V18"/>
  <c r="Y32"/>
  <c r="T35"/>
  <c r="W38"/>
  <c r="V39"/>
  <c r="W40"/>
  <c r="W26"/>
  <c r="T28"/>
  <c r="Y19"/>
  <c r="W29"/>
  <c r="Z17"/>
  <c r="V36"/>
  <c r="V23"/>
  <c r="V32"/>
  <c r="V40"/>
  <c r="W32"/>
  <c r="Y38"/>
  <c r="V34"/>
  <c r="Y23"/>
  <c r="Y27"/>
  <c r="Y28"/>
  <c r="T39"/>
  <c r="Y20"/>
  <c r="T26"/>
  <c r="V15"/>
  <c r="T36"/>
  <c r="W33"/>
  <c r="T20"/>
  <c r="V14"/>
  <c r="V12"/>
  <c r="W36"/>
  <c r="T41"/>
  <c r="V21"/>
  <c r="T15"/>
  <c r="W39"/>
  <c r="W16"/>
  <c r="V22"/>
  <c r="V27"/>
  <c r="W34"/>
  <c r="T14"/>
  <c r="T24"/>
  <c r="T16"/>
  <c r="T42"/>
  <c r="T12"/>
  <c r="T25"/>
  <c r="W30"/>
  <c r="W12"/>
  <c r="Y29"/>
  <c r="Z25"/>
  <c r="T34"/>
  <c r="V17"/>
  <c r="W22"/>
  <c r="Y37"/>
  <c r="W14"/>
  <c r="Y39"/>
  <c r="Y25"/>
  <c r="V26"/>
  <c r="W42"/>
  <c r="V37"/>
  <c r="H24" i="6" l="1"/>
  <c r="C46" i="3"/>
  <c r="C45"/>
  <c r="C44"/>
  <c r="C47" l="1"/>
  <c r="H25" i="6"/>
  <c r="C48" i="3"/>
  <c r="C49"/>
  <c r="C51"/>
  <c r="C56" l="1"/>
  <c r="D56" s="1"/>
  <c r="D52"/>
  <c r="N43"/>
  <c r="I43"/>
  <c r="M43"/>
  <c r="J43"/>
  <c r="O43"/>
  <c r="L43"/>
  <c r="K43"/>
  <c r="H43"/>
  <c r="C53"/>
  <c r="D54" s="1"/>
  <c r="D58"/>
  <c r="D57"/>
  <c r="D55"/>
  <c r="O47" l="1"/>
  <c r="O49"/>
  <c r="O48"/>
  <c r="J47"/>
  <c r="J49"/>
  <c r="J48"/>
  <c r="M47"/>
  <c r="M49"/>
  <c r="M48"/>
  <c r="I47"/>
  <c r="I49"/>
  <c r="I48"/>
  <c r="L47"/>
  <c r="L49"/>
  <c r="L48"/>
  <c r="N47"/>
  <c r="N48"/>
  <c r="N49"/>
  <c r="H47"/>
  <c r="H49"/>
  <c r="H48"/>
  <c r="K47"/>
  <c r="K48"/>
  <c r="K49"/>
  <c r="D53"/>
</calcChain>
</file>

<file path=xl/sharedStrings.xml><?xml version="1.0" encoding="utf-8"?>
<sst xmlns="http://schemas.openxmlformats.org/spreadsheetml/2006/main" count="283" uniqueCount="113">
  <si>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</si>
  <si>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</si>
  <si>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</si>
  <si>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</si>
  <si>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</si>
  <si>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</si>
  <si>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</si>
  <si>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</si>
  <si>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</si>
  <si>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</si>
  <si>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</si>
  <si>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</si>
  <si>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</si>
  <si>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</si>
  <si>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</si>
  <si>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</si>
  <si>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</si>
  <si>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</si>
  <si>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</si>
  <si>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</si>
  <si>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</si>
  <si>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</si>
  <si>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</si>
  <si>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</si>
  <si>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</si>
  <si>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</si>
  <si>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</si>
  <si>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</si>
  <si>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</si>
  <si>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</si>
  <si>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</si>
  <si>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</si>
  <si>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</si>
  <si>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</si>
  <si>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</si>
  <si>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</si>
  <si>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</si>
  <si>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</si>
  <si>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</si>
  <si>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</si>
  <si>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</si>
  <si>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</si>
  <si>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</si>
  <si>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</si>
  <si>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</si>
  <si>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</si>
  <si>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</si>
  <si>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</si>
  <si>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</si>
  <si>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</si>
  <si>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</si>
  <si>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</si>
  <si>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</si>
  <si>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</si>
  <si>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</si>
  <si>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</si>
  <si>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</si>
  <si>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</si>
  <si>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</si>
  <si>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</si>
  <si>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</si>
  <si>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2022-2023 УЧЕБНОГО ГОДА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</si>
  <si>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</si>
  <si>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</si>
  <si>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</si>
  <si>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</si>
  <si>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</si>
  <si>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</si>
  <si>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</si>
  <si>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</si>
  <si>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</si>
  <si>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Кононов Степан Андреевич</t>
  </si>
  <si>
    <t>Корзунин Евгений Сергеевич</t>
  </si>
  <si>
    <t>Кривошеин Дмитрий Васильевич</t>
  </si>
  <si>
    <t>Куковеров Никита Анатольевич</t>
  </si>
  <si>
    <t>Лаптев Дмитрий Андреевич</t>
  </si>
  <si>
    <t>Никулин Арсений Игоревич</t>
  </si>
  <si>
    <t>Огородников Никита Михайлович</t>
  </si>
  <si>
    <t>Панкратов Никита Владимирович</t>
  </si>
  <si>
    <t>Садакова Анна Алексеевна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</si>
  <si>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</si>
  <si>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</si>
  <si>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</si>
  <si>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</si>
  <si>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</si>
  <si>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Чупраков Денис Сергеевич</t>
  </si>
  <si>
    <t>Шаклеин Арсений Вадимович</t>
  </si>
  <si>
    <t>Беляев Макар Леонидович</t>
  </si>
  <si>
    <t>Бильчук Максим Алексеевич</t>
  </si>
  <si>
    <t>Гудин Евгений Андреевич</t>
  </si>
  <si>
    <t>Конышев Иван Сергеевич</t>
  </si>
  <si>
    <t>Котанджян Валерий Каренович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</si>
  <si>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</si>
  <si>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</si>
  <si>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</si>
  <si>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</si>
  <si>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</si>
  <si>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</si>
  <si>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</si>
  <si>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</si>
  <si>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Прыщенко Арсений Алексеевич</t>
  </si>
  <si>
    <t>Основы проектной деятельности</t>
  </si>
  <si>
    <t>Гниенко А.А.</t>
  </si>
  <si>
    <t>н/а</t>
  </si>
  <si>
    <t>Прыщенко Арсений Алексеевич болезнь, обследование</t>
  </si>
  <si>
    <t>Чупраков Денис Сергеевич болеет часто</t>
  </si>
  <si>
    <t>Куковеров Никита Анатольевич болезнь</t>
  </si>
  <si>
    <t>Огородников Никита Михайлович болезнь</t>
  </si>
  <si>
    <t>Садакова Анна Алексеевна болезнь</t>
  </si>
  <si>
    <t xml:space="preserve">Шаклеин Арсений Вадимович болезнь </t>
  </si>
  <si>
    <t xml:space="preserve">Алембаев Артём Сергеевич болезнь </t>
  </si>
  <si>
    <t xml:space="preserve">Алиев Тимур Русланович  болезнь </t>
  </si>
  <si>
    <t>март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</si>
</sst>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i/>
      <sz val="10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9" fillId="2" borderId="0" xfId="0" applyFont="1" applyFill="1"/>
    <xf numFmtId="0" fontId="29" fillId="0" borderId="0" xfId="0" applyFont="1"/>
    <xf numFmtId="0" fontId="29" fillId="2" borderId="0" xfId="0" applyFont="1" applyFill="1" applyAlignment="1">
      <alignment horizontal="center" readingOrder="1"/>
    </xf>
    <xf numFmtId="0" fontId="29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1" xfId="0" applyFont="1" applyFill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>
      <alignment horizontal="center" vertical="center" wrapText="1"/>
    </xf>
    <xf numFmtId="0" fontId="28" fillId="0" borderId="0" xfId="3" applyFont="1" applyAlignment="1">
      <alignment horizontal="center" wrapText="1"/>
    </xf>
    <xf numFmtId="0" fontId="30" fillId="0" borderId="0" xfId="3" applyFont="1"/>
    <xf numFmtId="0" fontId="28" fillId="0" borderId="0" xfId="3" applyFont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textRotation="90" wrapText="1"/>
    </xf>
    <xf numFmtId="0" fontId="15" fillId="0" borderId="28" xfId="0" applyFont="1" applyBorder="1" applyAlignment="1">
      <alignment vertical="center" wrapText="1"/>
    </xf>
    <xf numFmtId="0" fontId="15" fillId="0" borderId="15" xfId="0" applyFont="1" applyBorder="1" applyAlignment="1">
      <alignment vertical="center" wrapText="1"/>
    </xf>
    <xf numFmtId="0" fontId="33" fillId="0" borderId="15" xfId="0" applyFont="1" applyBorder="1"/>
    <xf numFmtId="0" fontId="33" fillId="0" borderId="48" xfId="0" applyFont="1" applyBorder="1"/>
    <xf numFmtId="0" fontId="15" fillId="0" borderId="15" xfId="0" applyFont="1" applyBorder="1"/>
    <xf numFmtId="0" fontId="15" fillId="0" borderId="48" xfId="0" applyFont="1" applyBorder="1"/>
    <xf numFmtId="0" fontId="11" fillId="0" borderId="15" xfId="0" applyFont="1" applyBorder="1"/>
    <xf numFmtId="49" fontId="34" fillId="2" borderId="15" xfId="0" applyNumberFormat="1" applyFont="1" applyFill="1" applyBorder="1" applyAlignment="1">
      <alignment vertical="center" wrapText="1"/>
    </xf>
    <xf numFmtId="0" fontId="32" fillId="0" borderId="1" xfId="0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35" fillId="2" borderId="15" xfId="0" applyFont="1" applyFill="1" applyBorder="1" applyAlignment="1">
      <alignment horizontal="center" vertical="center" wrapText="1"/>
    </xf>
    <xf numFmtId="0" fontId="36" fillId="0" borderId="48" xfId="0" applyFont="1" applyBorder="1" applyAlignment="1">
      <alignment vertical="center" wrapText="1"/>
    </xf>
    <xf numFmtId="0" fontId="37" fillId="0" borderId="1" xfId="0" applyFont="1" applyBorder="1" applyAlignment="1">
      <alignment horizontal="center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36" fillId="0" borderId="15" xfId="0" applyFont="1" applyBorder="1" applyAlignment="1">
      <alignment vertical="center" wrapText="1"/>
    </xf>
    <xf numFmtId="0" fontId="38" fillId="0" borderId="15" xfId="0" applyFont="1" applyBorder="1"/>
    <xf numFmtId="0" fontId="36" fillId="0" borderId="15" xfId="0" applyFont="1" applyBorder="1"/>
    <xf numFmtId="0" fontId="4" fillId="0" borderId="15" xfId="0" applyFont="1" applyBorder="1" applyAlignment="1">
      <alignment horizontal="right" vertical="center" wrapText="1"/>
    </xf>
    <xf numFmtId="0" fontId="4" fillId="0" borderId="19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8" fillId="0" borderId="14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52" xfId="3" applyFont="1" applyBorder="1" applyAlignment="1">
      <alignment horizontal="center" vertical="center" textRotation="90" wrapText="1"/>
    </xf>
    <xf numFmtId="0" fontId="19" fillId="2" borderId="42" xfId="3" applyFont="1" applyFill="1" applyBorder="1" applyAlignment="1" applyProtection="1">
      <alignment horizontal="center" vertical="center"/>
      <protection locked="0"/>
    </xf>
    <xf numFmtId="0" fontId="19" fillId="2" borderId="17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horizontal="center" vertical="center"/>
      <protection locked="0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3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6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/>
    <cellStyle name="Обычный 4" xfId="1"/>
    <cellStyle name="Процентный" xfId="2" builtinId="5"/>
    <cellStyle name="Процентный 2" xfId="4"/>
    <cellStyle name="Процентный 3" xfId="5"/>
  </cellStyles>
  <dxfs count="14"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9" tint="0.39997558519241921"/>
    <pageSetUpPr fitToPage="1"/>
  </sheetPr>
  <dimension ref="A1:AE82"/>
  <sheetViews>
    <sheetView showGridLines="0" tabSelected="1" zoomScale="80" zoomScaleNormal="80" workbookViewId="0">
      <selection activeCell="A8" sqref="A8:Q8"/>
    </sheetView>
  </sheetViews>
  <sheetFormatPr defaultRowHeight="14.4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1" ht="15.6">
      <c r="A1" s="153" t="s">
        <v>14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</row>
    <row r="2" spans="1:31">
      <c r="A2" s="154" t="s">
        <v>9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</row>
    <row r="3" spans="1:31" ht="15.6">
      <c r="A3" s="155" t="s">
        <v>10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</row>
    <row r="4" spans="1:31" ht="15.6">
      <c r="A4" s="156" t="s">
        <v>11</v>
      </c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</row>
    <row r="5" spans="1:31" ht="15.6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>
      <c r="B7" s="79" t="s">
        <v>53</v>
      </c>
      <c r="D7" s="79"/>
      <c r="E7" s="79"/>
      <c r="G7" s="152" t="s">
        <v>112</v>
      </c>
      <c r="H7" s="152"/>
      <c r="I7" s="78" t="s">
        <v>61</v>
      </c>
      <c r="P7" s="51"/>
      <c r="Q7" s="51"/>
    </row>
    <row r="8" spans="1:31" ht="15.6">
      <c r="A8" s="163"/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</row>
    <row r="9" spans="1:31" ht="15.6">
      <c r="A9" s="157" t="s">
        <v>99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</row>
    <row r="10" spans="1:31" ht="16.5" customHeight="1" thickBot="1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8"/>
      <c r="T10" s="88"/>
      <c r="U10" s="88"/>
      <c r="V10" s="88"/>
      <c r="W10" s="88"/>
      <c r="X10" s="88"/>
      <c r="Y10" s="88"/>
      <c r="Z10" s="88"/>
    </row>
    <row r="11" spans="1:31" s="4" customFormat="1" ht="125.25" customHeight="1" thickBot="1">
      <c r="A11" s="69" t="s">
        <v>3</v>
      </c>
      <c r="B11" s="98" t="s">
        <v>2</v>
      </c>
      <c r="C11" s="105" t="s">
        <v>92</v>
      </c>
      <c r="D11" s="106" t="s">
        <v>93</v>
      </c>
      <c r="E11" s="106" t="s">
        <v>59</v>
      </c>
      <c r="F11" s="106" t="s">
        <v>94</v>
      </c>
      <c r="G11" s="106" t="s">
        <v>58</v>
      </c>
      <c r="H11" s="106" t="s">
        <v>60</v>
      </c>
      <c r="I11" s="106" t="s">
        <v>95</v>
      </c>
      <c r="J11" s="106" t="s">
        <v>96</v>
      </c>
      <c r="K11" s="106" t="s">
        <v>97</v>
      </c>
      <c r="L11" s="106" t="s">
        <v>101</v>
      </c>
      <c r="M11" s="106" t="s">
        <v>98</v>
      </c>
      <c r="N11" s="105"/>
      <c r="O11" s="107"/>
      <c r="P11" s="159" t="s">
        <v>13</v>
      </c>
      <c r="Q11" s="160"/>
      <c r="R11" s="23">
        <f>COUNTA(C11:O11)-COUNTIF(C12:O12," ")</f>
        <v>8</v>
      </c>
      <c r="S11" s="86" t="s">
        <v>26</v>
      </c>
      <c r="T11" s="87" t="s">
        <v>24</v>
      </c>
      <c r="U11" s="87">
        <v>5</v>
      </c>
      <c r="V11" s="87" t="s">
        <v>25</v>
      </c>
      <c r="W11" s="87" t="s">
        <v>27</v>
      </c>
      <c r="X11" s="87" t="s">
        <v>28</v>
      </c>
      <c r="Y11" s="87" t="s">
        <v>29</v>
      </c>
      <c r="Z11" s="87" t="s">
        <v>30</v>
      </c>
      <c r="AA11" s="110"/>
      <c r="AB11" s="110"/>
      <c r="AC11" s="110"/>
      <c r="AD11" s="110"/>
      <c r="AE11" s="110"/>
    </row>
    <row r="12" spans="1:31" ht="20.100000000000001" customHeight="1">
      <c r="A12" s="109">
        <v>1</v>
      </c>
      <c r="B12" s="111" t="s">
        <v>62</v>
      </c>
      <c r="C12" s="121">
        <v>4</v>
      </c>
      <c r="D12" s="96">
        <v>5</v>
      </c>
      <c r="E12" s="96">
        <v>5</v>
      </c>
      <c r="F12" s="96" t="s">
        <v>103</v>
      </c>
      <c r="G12" s="96">
        <v>4</v>
      </c>
      <c r="H12" s="96"/>
      <c r="I12" s="96">
        <v>4</v>
      </c>
      <c r="J12" s="96"/>
      <c r="K12" s="96"/>
      <c r="L12" s="96">
        <v>5</v>
      </c>
      <c r="M12" s="96" t="s">
        <v>98</v>
      </c>
      <c r="N12" s="96" t="s">
        <v>98</v>
      </c>
      <c r="O12" s="97" t="s">
        <v>98</v>
      </c>
      <c r="P12" s="161"/>
      <c r="Q12" s="162"/>
      <c r="R12" s="24">
        <f>COUNTIF(C12:O12,3)+COUNTIF(C12:O12,4)+COUNTIF(C12:O12,5)+COUNTIF(C12:O12,"зач.")+COUNTIF(C12:O12,"зачёт")+COUNTIF(C12:O12,"зачтено")</f>
        <v>6</v>
      </c>
      <c r="S12" s="88">
        <f>COUNTIF(C12:O12,4)+COUNTIF(C12:O12,5)+COUNTIF(C12:O12,"зач.")+COUNTIF(C12:O12,"зачёт")+COUNTIF(C12:O12,"зачтено")</f>
        <v>6</v>
      </c>
      <c r="T12" s="88">
        <f>IF(AND(R12=$R$11, B12&lt;&gt;"", COUNTA(C12:O12)=$R$11, $R$11&lt;&gt;0),1,0)</f>
        <v>0</v>
      </c>
      <c r="U12" s="88">
        <f>COUNTIF(C12:O12,5)+COUNTIF(C12:O12,"зач.")+COUNTIF(C12:O12,"зачёт")+COUNTIF(C12:O12,"зачтено")</f>
        <v>3</v>
      </c>
      <c r="V12" s="88">
        <f>IF(AND(U12=$R$11, $R$11&lt;&gt;0),1,0)</f>
        <v>0</v>
      </c>
      <c r="W12" s="88">
        <f>IF(AND(S12=$R$11, $R$11&lt;&gt;0),1,0)</f>
        <v>0</v>
      </c>
      <c r="X12" s="88">
        <f t="shared" ref="X12" si="0">COUNTIF(C12:O12,3)</f>
        <v>0</v>
      </c>
      <c r="Y12" s="88">
        <f>IF(AND(X12&lt;3,R12=$R$11,X12&gt;0),1,0)</f>
        <v>0</v>
      </c>
      <c r="Z12" s="88">
        <f t="shared" ref="Z12" si="1">IF(ISBLANK(B12), 0, $R$11-R12)</f>
        <v>2</v>
      </c>
      <c r="AD12" s="93"/>
      <c r="AE12" s="93"/>
    </row>
    <row r="13" spans="1:31" ht="20.100000000000001" customHeight="1">
      <c r="A13" s="108">
        <v>2</v>
      </c>
      <c r="B13" s="112" t="s">
        <v>63</v>
      </c>
      <c r="C13" s="119">
        <v>4</v>
      </c>
      <c r="D13" s="26">
        <v>4</v>
      </c>
      <c r="E13" s="26">
        <v>5</v>
      </c>
      <c r="F13" s="26" t="s">
        <v>103</v>
      </c>
      <c r="G13" s="26" t="s">
        <v>103</v>
      </c>
      <c r="H13" s="26"/>
      <c r="I13" s="26">
        <v>4</v>
      </c>
      <c r="J13" s="26"/>
      <c r="K13" s="26"/>
      <c r="L13" s="26">
        <v>4</v>
      </c>
      <c r="M13" s="96" t="s">
        <v>98</v>
      </c>
      <c r="N13" s="96" t="s">
        <v>98</v>
      </c>
      <c r="O13" s="97" t="s">
        <v>98</v>
      </c>
      <c r="P13" s="146"/>
      <c r="Q13" s="147"/>
      <c r="R13" s="24">
        <f t="shared" ref="R13:R42" si="2">COUNTIF(C13:O13,3)+COUNTIF(C13:O13,4)+COUNTIF(C13:O13,5)+COUNTIF(C13:O13,"зач.")+COUNTIF(C13:O13,"зачёт")+COUNTIF(C13:O13,"зачтено")</f>
        <v>5</v>
      </c>
      <c r="S13" s="88">
        <f t="shared" ref="S13:S42" si="3">COUNTIF(C13:O13,4)+COUNTIF(C13:O13,5)+COUNTIF(C13:O13,"зач.")+COUNTIF(C13:O13,"зачёт")+COUNTIF(C13:O13,"зачтено")</f>
        <v>5</v>
      </c>
      <c r="T13" s="88">
        <f t="shared" ref="T13:T42" si="4">IF(AND(R13=$R$11, B13&lt;&gt;"", COUNTA(C13:O13)=$R$11, $R$11&lt;&gt;0),1,0)</f>
        <v>0</v>
      </c>
      <c r="U13" s="88">
        <f t="shared" ref="U13:U42" si="5">COUNTIF(C13:O13,5)+COUNTIF(C13:O13,"зач.")+COUNTIF(C13:O13,"зачёт")+COUNTIF(C13:O13,"зачтено")</f>
        <v>1</v>
      </c>
      <c r="V13" s="88">
        <f t="shared" ref="V13:V42" si="6">IF(AND(U13=$R$11, $R$11&lt;&gt;0),1,0)</f>
        <v>0</v>
      </c>
      <c r="W13" s="88">
        <f t="shared" ref="W13:W42" si="7">IF(AND(S13=$R$11, $R$11&lt;&gt;0),1,0)</f>
        <v>0</v>
      </c>
      <c r="X13" s="88">
        <f t="shared" ref="X13:X42" si="8">COUNTIF(C13:O13,3)</f>
        <v>0</v>
      </c>
      <c r="Y13" s="88">
        <f t="shared" ref="Y13:Y42" si="9">IF(AND(X13&lt;3,R13=$R$11,X13&gt;0),1,0)</f>
        <v>0</v>
      </c>
      <c r="Z13" s="88">
        <f t="shared" ref="Z13:Z42" si="10">IF(ISBLANK(B13), 0, $R$11-R13)</f>
        <v>3</v>
      </c>
      <c r="AD13" s="93"/>
      <c r="AE13" s="93"/>
    </row>
    <row r="14" spans="1:31" ht="20.100000000000001" customHeight="1">
      <c r="A14" s="124">
        <v>3</v>
      </c>
      <c r="B14" s="125" t="s">
        <v>64</v>
      </c>
      <c r="C14" s="126">
        <v>4</v>
      </c>
      <c r="D14" s="127">
        <v>4</v>
      </c>
      <c r="E14" s="127">
        <v>5</v>
      </c>
      <c r="F14" s="127">
        <v>4</v>
      </c>
      <c r="G14" s="127">
        <v>5</v>
      </c>
      <c r="H14" s="127"/>
      <c r="I14" s="127">
        <v>4</v>
      </c>
      <c r="J14" s="127"/>
      <c r="K14" s="127"/>
      <c r="L14" s="127">
        <v>5</v>
      </c>
      <c r="M14" s="96" t="s">
        <v>98</v>
      </c>
      <c r="N14" s="96" t="s">
        <v>98</v>
      </c>
      <c r="O14" s="97" t="s">
        <v>98</v>
      </c>
      <c r="P14" s="144"/>
      <c r="Q14" s="145"/>
      <c r="R14" s="24">
        <f t="shared" si="2"/>
        <v>7</v>
      </c>
      <c r="S14" s="88">
        <f t="shared" si="3"/>
        <v>7</v>
      </c>
      <c r="T14" s="88">
        <f t="shared" si="4"/>
        <v>0</v>
      </c>
      <c r="U14" s="88">
        <f t="shared" si="5"/>
        <v>3</v>
      </c>
      <c r="V14" s="88">
        <f t="shared" si="6"/>
        <v>0</v>
      </c>
      <c r="W14" s="88">
        <f t="shared" si="7"/>
        <v>0</v>
      </c>
      <c r="X14" s="88">
        <f t="shared" si="8"/>
        <v>0</v>
      </c>
      <c r="Y14" s="88">
        <f t="shared" si="9"/>
        <v>0</v>
      </c>
      <c r="Z14" s="88">
        <f t="shared" si="10"/>
        <v>1</v>
      </c>
      <c r="AD14" s="93"/>
      <c r="AE14" s="93"/>
    </row>
    <row r="15" spans="1:31" ht="20.100000000000001" customHeight="1">
      <c r="A15" s="108">
        <v>4</v>
      </c>
      <c r="B15" s="112" t="s">
        <v>65</v>
      </c>
      <c r="C15" s="119">
        <v>4</v>
      </c>
      <c r="D15" s="26">
        <v>4</v>
      </c>
      <c r="E15" s="26">
        <v>4</v>
      </c>
      <c r="F15" s="26">
        <v>3</v>
      </c>
      <c r="G15" s="26">
        <v>4</v>
      </c>
      <c r="H15" s="26"/>
      <c r="I15" s="26">
        <v>4</v>
      </c>
      <c r="J15" s="26"/>
      <c r="K15" s="26"/>
      <c r="L15" s="26">
        <v>4</v>
      </c>
      <c r="M15" s="96" t="s">
        <v>98</v>
      </c>
      <c r="N15" s="96" t="s">
        <v>98</v>
      </c>
      <c r="O15" s="97" t="s">
        <v>98</v>
      </c>
      <c r="P15" s="144"/>
      <c r="Q15" s="145"/>
      <c r="R15" s="24">
        <f t="shared" si="2"/>
        <v>7</v>
      </c>
      <c r="S15" s="88">
        <f t="shared" si="3"/>
        <v>6</v>
      </c>
      <c r="T15" s="88">
        <f t="shared" si="4"/>
        <v>0</v>
      </c>
      <c r="U15" s="88">
        <f t="shared" si="5"/>
        <v>0</v>
      </c>
      <c r="V15" s="88">
        <f t="shared" si="6"/>
        <v>0</v>
      </c>
      <c r="W15" s="88">
        <f t="shared" si="7"/>
        <v>0</v>
      </c>
      <c r="X15" s="88">
        <f t="shared" si="8"/>
        <v>1</v>
      </c>
      <c r="Y15" s="88">
        <f t="shared" si="9"/>
        <v>0</v>
      </c>
      <c r="Z15" s="88">
        <f t="shared" si="10"/>
        <v>1</v>
      </c>
      <c r="AD15" s="93"/>
      <c r="AE15" s="93"/>
    </row>
    <row r="16" spans="1:31" ht="20.100000000000001" customHeight="1">
      <c r="A16" s="124">
        <v>5</v>
      </c>
      <c r="B16" s="128" t="s">
        <v>66</v>
      </c>
      <c r="C16" s="126">
        <v>4</v>
      </c>
      <c r="D16" s="127">
        <v>4</v>
      </c>
      <c r="E16" s="127">
        <v>4</v>
      </c>
      <c r="F16" s="127">
        <v>4</v>
      </c>
      <c r="G16" s="127">
        <v>4</v>
      </c>
      <c r="H16" s="127"/>
      <c r="I16" s="127">
        <v>4</v>
      </c>
      <c r="J16" s="127"/>
      <c r="K16" s="127"/>
      <c r="L16" s="127">
        <v>5</v>
      </c>
      <c r="M16" s="96" t="s">
        <v>98</v>
      </c>
      <c r="N16" s="96" t="s">
        <v>98</v>
      </c>
      <c r="O16" s="97" t="s">
        <v>98</v>
      </c>
      <c r="P16" s="144"/>
      <c r="Q16" s="145"/>
      <c r="R16" s="24">
        <f t="shared" si="2"/>
        <v>7</v>
      </c>
      <c r="S16" s="88">
        <f t="shared" si="3"/>
        <v>7</v>
      </c>
      <c r="T16" s="88">
        <f t="shared" si="4"/>
        <v>0</v>
      </c>
      <c r="U16" s="88">
        <f t="shared" si="5"/>
        <v>1</v>
      </c>
      <c r="V16" s="88">
        <f t="shared" si="6"/>
        <v>0</v>
      </c>
      <c r="W16" s="88">
        <f t="shared" si="7"/>
        <v>0</v>
      </c>
      <c r="X16" s="88">
        <f t="shared" si="8"/>
        <v>0</v>
      </c>
      <c r="Y16" s="88">
        <f t="shared" si="9"/>
        <v>0</v>
      </c>
      <c r="Z16" s="88">
        <f t="shared" si="10"/>
        <v>1</v>
      </c>
      <c r="AD16" s="93"/>
      <c r="AE16" s="93"/>
    </row>
    <row r="17" spans="1:31" ht="19.5" customHeight="1">
      <c r="A17" s="124">
        <v>6</v>
      </c>
      <c r="B17" s="128" t="s">
        <v>67</v>
      </c>
      <c r="C17" s="126">
        <v>5</v>
      </c>
      <c r="D17" s="127">
        <v>5</v>
      </c>
      <c r="E17" s="127">
        <v>4</v>
      </c>
      <c r="F17" s="127">
        <v>4</v>
      </c>
      <c r="G17" s="127">
        <v>5</v>
      </c>
      <c r="H17" s="127"/>
      <c r="I17" s="127">
        <v>5</v>
      </c>
      <c r="J17" s="127"/>
      <c r="K17" s="127"/>
      <c r="L17" s="127">
        <v>4</v>
      </c>
      <c r="M17" s="96" t="s">
        <v>98</v>
      </c>
      <c r="N17" s="96" t="s">
        <v>98</v>
      </c>
      <c r="O17" s="97" t="s">
        <v>98</v>
      </c>
      <c r="P17" s="144"/>
      <c r="Q17" s="145"/>
      <c r="R17" s="24">
        <f t="shared" si="2"/>
        <v>7</v>
      </c>
      <c r="S17" s="88">
        <f t="shared" si="3"/>
        <v>7</v>
      </c>
      <c r="T17" s="88">
        <f t="shared" si="4"/>
        <v>0</v>
      </c>
      <c r="U17" s="88">
        <f t="shared" si="5"/>
        <v>4</v>
      </c>
      <c r="V17" s="88">
        <f t="shared" si="6"/>
        <v>0</v>
      </c>
      <c r="W17" s="88">
        <f t="shared" si="7"/>
        <v>0</v>
      </c>
      <c r="X17" s="88">
        <f t="shared" si="8"/>
        <v>0</v>
      </c>
      <c r="Y17" s="88">
        <f t="shared" si="9"/>
        <v>0</v>
      </c>
      <c r="Z17" s="88">
        <f t="shared" si="10"/>
        <v>1</v>
      </c>
      <c r="AD17" s="93"/>
      <c r="AE17" s="93"/>
    </row>
    <row r="18" spans="1:31" ht="20.100000000000001" customHeight="1">
      <c r="A18" s="124">
        <v>7</v>
      </c>
      <c r="B18" s="128" t="s">
        <v>68</v>
      </c>
      <c r="C18" s="126">
        <v>4</v>
      </c>
      <c r="D18" s="127">
        <v>4</v>
      </c>
      <c r="E18" s="127">
        <v>4</v>
      </c>
      <c r="F18" s="127">
        <v>3</v>
      </c>
      <c r="G18" s="127">
        <v>4</v>
      </c>
      <c r="H18" s="127"/>
      <c r="I18" s="127">
        <v>5</v>
      </c>
      <c r="J18" s="127"/>
      <c r="K18" s="127"/>
      <c r="L18" s="127">
        <v>4</v>
      </c>
      <c r="M18" s="96" t="s">
        <v>98</v>
      </c>
      <c r="N18" s="96" t="s">
        <v>98</v>
      </c>
      <c r="O18" s="97" t="s">
        <v>98</v>
      </c>
      <c r="P18" s="146"/>
      <c r="Q18" s="147"/>
      <c r="R18" s="24">
        <f t="shared" si="2"/>
        <v>7</v>
      </c>
      <c r="S18" s="88">
        <f t="shared" si="3"/>
        <v>6</v>
      </c>
      <c r="T18" s="88">
        <f t="shared" si="4"/>
        <v>0</v>
      </c>
      <c r="U18" s="88">
        <f t="shared" si="5"/>
        <v>1</v>
      </c>
      <c r="V18" s="88">
        <f t="shared" si="6"/>
        <v>0</v>
      </c>
      <c r="W18" s="88">
        <f t="shared" si="7"/>
        <v>0</v>
      </c>
      <c r="X18" s="88">
        <f t="shared" si="8"/>
        <v>1</v>
      </c>
      <c r="Y18" s="88">
        <f t="shared" si="9"/>
        <v>0</v>
      </c>
      <c r="Z18" s="88">
        <f t="shared" si="10"/>
        <v>1</v>
      </c>
      <c r="AD18" s="93"/>
      <c r="AE18" s="93"/>
    </row>
    <row r="19" spans="1:31" ht="20.100000000000001" customHeight="1">
      <c r="A19" s="108">
        <v>8</v>
      </c>
      <c r="B19" s="113" t="s">
        <v>69</v>
      </c>
      <c r="C19" s="119">
        <v>4</v>
      </c>
      <c r="D19" s="26">
        <v>4</v>
      </c>
      <c r="E19" s="26">
        <v>4</v>
      </c>
      <c r="F19" s="26">
        <v>3</v>
      </c>
      <c r="G19" s="26">
        <v>4</v>
      </c>
      <c r="H19" s="26"/>
      <c r="I19" s="26">
        <v>5</v>
      </c>
      <c r="J19" s="26"/>
      <c r="K19" s="26"/>
      <c r="L19" s="26">
        <v>5</v>
      </c>
      <c r="M19" s="96" t="s">
        <v>98</v>
      </c>
      <c r="N19" s="96" t="s">
        <v>98</v>
      </c>
      <c r="O19" s="97" t="s">
        <v>98</v>
      </c>
      <c r="P19" s="89"/>
      <c r="Q19" s="90"/>
      <c r="R19" s="24">
        <f t="shared" si="2"/>
        <v>7</v>
      </c>
      <c r="S19" s="88">
        <f t="shared" si="3"/>
        <v>6</v>
      </c>
      <c r="T19" s="88">
        <f t="shared" si="4"/>
        <v>0</v>
      </c>
      <c r="U19" s="88">
        <f t="shared" si="5"/>
        <v>2</v>
      </c>
      <c r="V19" s="88">
        <f t="shared" si="6"/>
        <v>0</v>
      </c>
      <c r="W19" s="88">
        <f t="shared" si="7"/>
        <v>0</v>
      </c>
      <c r="X19" s="88">
        <f t="shared" si="8"/>
        <v>1</v>
      </c>
      <c r="Y19" s="88">
        <f t="shared" si="9"/>
        <v>0</v>
      </c>
      <c r="Z19" s="88">
        <f t="shared" si="10"/>
        <v>1</v>
      </c>
      <c r="AD19" s="93"/>
      <c r="AE19" s="93"/>
    </row>
    <row r="20" spans="1:31" ht="20.100000000000001" customHeight="1">
      <c r="A20" s="124">
        <v>9</v>
      </c>
      <c r="B20" s="128" t="s">
        <v>70</v>
      </c>
      <c r="C20" s="126">
        <v>4</v>
      </c>
      <c r="D20" s="127">
        <v>4</v>
      </c>
      <c r="E20" s="127">
        <v>5</v>
      </c>
      <c r="F20" s="127">
        <v>5</v>
      </c>
      <c r="G20" s="127">
        <v>5</v>
      </c>
      <c r="H20" s="127"/>
      <c r="I20" s="127">
        <v>4</v>
      </c>
      <c r="J20" s="127"/>
      <c r="K20" s="127"/>
      <c r="L20" s="127">
        <v>5</v>
      </c>
      <c r="M20" s="96" t="s">
        <v>98</v>
      </c>
      <c r="N20" s="96" t="s">
        <v>98</v>
      </c>
      <c r="O20" s="97" t="s">
        <v>98</v>
      </c>
      <c r="P20" s="89"/>
      <c r="Q20" s="90"/>
      <c r="R20" s="24">
        <f t="shared" si="2"/>
        <v>7</v>
      </c>
      <c r="S20" s="88">
        <f t="shared" si="3"/>
        <v>7</v>
      </c>
      <c r="T20" s="88">
        <f t="shared" si="4"/>
        <v>0</v>
      </c>
      <c r="U20" s="88">
        <f t="shared" si="5"/>
        <v>4</v>
      </c>
      <c r="V20" s="88">
        <f t="shared" si="6"/>
        <v>0</v>
      </c>
      <c r="W20" s="88">
        <f t="shared" si="7"/>
        <v>0</v>
      </c>
      <c r="X20" s="88">
        <f t="shared" si="8"/>
        <v>0</v>
      </c>
      <c r="Y20" s="88">
        <f t="shared" si="9"/>
        <v>0</v>
      </c>
      <c r="Z20" s="88">
        <f t="shared" si="10"/>
        <v>1</v>
      </c>
      <c r="AD20" s="93"/>
      <c r="AE20" s="93"/>
    </row>
    <row r="21" spans="1:31" ht="20.100000000000001" customHeight="1">
      <c r="A21" s="124">
        <v>10</v>
      </c>
      <c r="B21" s="128" t="s">
        <v>71</v>
      </c>
      <c r="C21" s="126">
        <v>4</v>
      </c>
      <c r="D21" s="127">
        <v>4</v>
      </c>
      <c r="E21" s="127">
        <v>5</v>
      </c>
      <c r="F21" s="127">
        <v>5</v>
      </c>
      <c r="G21" s="127">
        <v>5</v>
      </c>
      <c r="H21" s="127"/>
      <c r="I21" s="127">
        <v>5</v>
      </c>
      <c r="J21" s="127"/>
      <c r="K21" s="127"/>
      <c r="L21" s="127">
        <v>5</v>
      </c>
      <c r="M21" s="96" t="s">
        <v>98</v>
      </c>
      <c r="N21" s="96" t="s">
        <v>98</v>
      </c>
      <c r="O21" s="97" t="s">
        <v>98</v>
      </c>
      <c r="P21" s="89"/>
      <c r="Q21" s="90"/>
      <c r="R21" s="24">
        <f t="shared" si="2"/>
        <v>7</v>
      </c>
      <c r="S21" s="88">
        <f t="shared" si="3"/>
        <v>7</v>
      </c>
      <c r="T21" s="88">
        <f t="shared" si="4"/>
        <v>0</v>
      </c>
      <c r="U21" s="88">
        <f t="shared" si="5"/>
        <v>5</v>
      </c>
      <c r="V21" s="88">
        <f t="shared" si="6"/>
        <v>0</v>
      </c>
      <c r="W21" s="88">
        <f t="shared" si="7"/>
        <v>0</v>
      </c>
      <c r="X21" s="88">
        <f t="shared" si="8"/>
        <v>0</v>
      </c>
      <c r="Y21" s="88">
        <f t="shared" si="9"/>
        <v>0</v>
      </c>
      <c r="Z21" s="88">
        <f t="shared" si="10"/>
        <v>1</v>
      </c>
      <c r="AD21" s="93"/>
      <c r="AE21" s="93"/>
    </row>
    <row r="22" spans="1:31" ht="20.100000000000001" customHeight="1">
      <c r="A22" s="108">
        <v>11</v>
      </c>
      <c r="B22" s="112" t="s">
        <v>72</v>
      </c>
      <c r="C22" s="119">
        <v>4</v>
      </c>
      <c r="D22" s="26">
        <v>4</v>
      </c>
      <c r="E22" s="26">
        <v>5</v>
      </c>
      <c r="F22" s="26">
        <v>3</v>
      </c>
      <c r="G22" s="26">
        <v>4</v>
      </c>
      <c r="H22" s="26"/>
      <c r="I22" s="26">
        <v>5</v>
      </c>
      <c r="J22" s="26"/>
      <c r="K22" s="26"/>
      <c r="L22" s="26">
        <v>4</v>
      </c>
      <c r="M22" s="96" t="s">
        <v>98</v>
      </c>
      <c r="N22" s="96" t="s">
        <v>98</v>
      </c>
      <c r="O22" s="97" t="s">
        <v>98</v>
      </c>
      <c r="P22" s="89"/>
      <c r="Q22" s="90"/>
      <c r="R22" s="24">
        <f t="shared" si="2"/>
        <v>7</v>
      </c>
      <c r="S22" s="88">
        <f t="shared" si="3"/>
        <v>6</v>
      </c>
      <c r="T22" s="88">
        <f t="shared" si="4"/>
        <v>0</v>
      </c>
      <c r="U22" s="88">
        <f t="shared" si="5"/>
        <v>2</v>
      </c>
      <c r="V22" s="88">
        <f t="shared" si="6"/>
        <v>0</v>
      </c>
      <c r="W22" s="88">
        <f t="shared" si="7"/>
        <v>0</v>
      </c>
      <c r="X22" s="88">
        <f t="shared" si="8"/>
        <v>1</v>
      </c>
      <c r="Y22" s="88">
        <f t="shared" si="9"/>
        <v>0</v>
      </c>
      <c r="Z22" s="88">
        <f t="shared" si="10"/>
        <v>1</v>
      </c>
      <c r="AD22" s="93"/>
      <c r="AE22" s="93"/>
    </row>
    <row r="23" spans="1:31" ht="20.100000000000001" customHeight="1">
      <c r="A23" s="124">
        <v>12</v>
      </c>
      <c r="B23" s="129" t="s">
        <v>73</v>
      </c>
      <c r="C23" s="126">
        <v>4</v>
      </c>
      <c r="D23" s="127">
        <v>4</v>
      </c>
      <c r="E23" s="127">
        <v>5</v>
      </c>
      <c r="F23" s="127">
        <v>4</v>
      </c>
      <c r="G23" s="127">
        <v>5</v>
      </c>
      <c r="H23" s="127"/>
      <c r="I23" s="127">
        <v>4</v>
      </c>
      <c r="J23" s="127"/>
      <c r="K23" s="127"/>
      <c r="L23" s="127">
        <v>4</v>
      </c>
      <c r="M23" s="96" t="s">
        <v>98</v>
      </c>
      <c r="N23" s="96" t="s">
        <v>98</v>
      </c>
      <c r="O23" s="97" t="s">
        <v>98</v>
      </c>
      <c r="P23" s="89"/>
      <c r="Q23" s="90"/>
      <c r="R23" s="24">
        <f t="shared" si="2"/>
        <v>7</v>
      </c>
      <c r="S23" s="88">
        <f t="shared" si="3"/>
        <v>7</v>
      </c>
      <c r="T23" s="88">
        <f t="shared" si="4"/>
        <v>0</v>
      </c>
      <c r="U23" s="88">
        <f t="shared" si="5"/>
        <v>2</v>
      </c>
      <c r="V23" s="88">
        <f t="shared" si="6"/>
        <v>0</v>
      </c>
      <c r="W23" s="88">
        <f t="shared" si="7"/>
        <v>0</v>
      </c>
      <c r="X23" s="88">
        <f t="shared" si="8"/>
        <v>0</v>
      </c>
      <c r="Y23" s="88">
        <f t="shared" si="9"/>
        <v>0</v>
      </c>
      <c r="Z23" s="88">
        <f t="shared" si="10"/>
        <v>1</v>
      </c>
      <c r="AD23" s="93"/>
      <c r="AE23" s="93"/>
    </row>
    <row r="24" spans="1:31" ht="20.100000000000001" customHeight="1">
      <c r="A24" s="108">
        <v>13</v>
      </c>
      <c r="B24" s="112" t="s">
        <v>74</v>
      </c>
      <c r="C24" s="119">
        <v>4</v>
      </c>
      <c r="D24" s="26">
        <v>4</v>
      </c>
      <c r="E24" s="26" t="s">
        <v>103</v>
      </c>
      <c r="F24" s="26" t="s">
        <v>103</v>
      </c>
      <c r="G24" s="26">
        <v>3</v>
      </c>
      <c r="H24" s="26"/>
      <c r="I24" s="26">
        <v>2</v>
      </c>
      <c r="J24" s="26"/>
      <c r="K24" s="26"/>
      <c r="L24" s="26">
        <v>2</v>
      </c>
      <c r="M24" s="96" t="s">
        <v>98</v>
      </c>
      <c r="N24" s="96" t="s">
        <v>98</v>
      </c>
      <c r="O24" s="97" t="s">
        <v>98</v>
      </c>
      <c r="P24" s="89"/>
      <c r="Q24" s="90"/>
      <c r="R24" s="24">
        <f t="shared" si="2"/>
        <v>3</v>
      </c>
      <c r="S24" s="88">
        <f t="shared" si="3"/>
        <v>2</v>
      </c>
      <c r="T24" s="88">
        <f t="shared" si="4"/>
        <v>0</v>
      </c>
      <c r="U24" s="88">
        <f t="shared" si="5"/>
        <v>0</v>
      </c>
      <c r="V24" s="88">
        <f t="shared" si="6"/>
        <v>0</v>
      </c>
      <c r="W24" s="88">
        <f t="shared" si="7"/>
        <v>0</v>
      </c>
      <c r="X24" s="88">
        <f t="shared" si="8"/>
        <v>1</v>
      </c>
      <c r="Y24" s="88">
        <f t="shared" si="9"/>
        <v>0</v>
      </c>
      <c r="Z24" s="88">
        <f t="shared" si="10"/>
        <v>5</v>
      </c>
      <c r="AD24" s="93"/>
      <c r="AE24" s="93"/>
    </row>
    <row r="25" spans="1:31" ht="20.100000000000001" customHeight="1">
      <c r="A25" s="108">
        <v>14</v>
      </c>
      <c r="B25" s="112" t="s">
        <v>75</v>
      </c>
      <c r="C25" s="119">
        <v>4</v>
      </c>
      <c r="D25" s="26">
        <v>5</v>
      </c>
      <c r="E25" s="26">
        <v>5</v>
      </c>
      <c r="F25" s="26">
        <v>4</v>
      </c>
      <c r="G25" s="26">
        <v>5</v>
      </c>
      <c r="H25" s="26"/>
      <c r="I25" s="26">
        <v>5</v>
      </c>
      <c r="J25" s="26"/>
      <c r="K25" s="26"/>
      <c r="L25" s="26">
        <v>4</v>
      </c>
      <c r="M25" s="96" t="s">
        <v>98</v>
      </c>
      <c r="N25" s="96" t="s">
        <v>98</v>
      </c>
      <c r="O25" s="97" t="s">
        <v>98</v>
      </c>
      <c r="P25" s="89"/>
      <c r="Q25" s="90"/>
      <c r="R25" s="24">
        <f t="shared" si="2"/>
        <v>7</v>
      </c>
      <c r="S25" s="88">
        <f t="shared" si="3"/>
        <v>7</v>
      </c>
      <c r="T25" s="88">
        <f t="shared" si="4"/>
        <v>0</v>
      </c>
      <c r="U25" s="88">
        <f t="shared" si="5"/>
        <v>4</v>
      </c>
      <c r="V25" s="88">
        <f t="shared" si="6"/>
        <v>0</v>
      </c>
      <c r="W25" s="88">
        <f t="shared" si="7"/>
        <v>0</v>
      </c>
      <c r="X25" s="88">
        <f t="shared" si="8"/>
        <v>0</v>
      </c>
      <c r="Y25" s="88">
        <f t="shared" si="9"/>
        <v>0</v>
      </c>
      <c r="Z25" s="88">
        <f t="shared" si="10"/>
        <v>1</v>
      </c>
      <c r="AD25" s="93"/>
      <c r="AE25" s="93"/>
    </row>
    <row r="26" spans="1:31" ht="20.100000000000001" customHeight="1">
      <c r="A26" s="124">
        <v>15</v>
      </c>
      <c r="B26" s="128" t="s">
        <v>76</v>
      </c>
      <c r="C26" s="126">
        <v>4</v>
      </c>
      <c r="D26" s="127">
        <v>5</v>
      </c>
      <c r="E26" s="127">
        <v>5</v>
      </c>
      <c r="F26" s="127">
        <v>5</v>
      </c>
      <c r="G26" s="127">
        <v>5</v>
      </c>
      <c r="H26" s="127"/>
      <c r="I26" s="127">
        <v>5</v>
      </c>
      <c r="J26" s="127"/>
      <c r="K26" s="127"/>
      <c r="L26" s="127">
        <v>2</v>
      </c>
      <c r="M26" s="96" t="s">
        <v>98</v>
      </c>
      <c r="N26" s="96" t="s">
        <v>98</v>
      </c>
      <c r="O26" s="97" t="s">
        <v>98</v>
      </c>
      <c r="P26" s="89"/>
      <c r="Q26" s="90"/>
      <c r="R26" s="24">
        <f t="shared" si="2"/>
        <v>6</v>
      </c>
      <c r="S26" s="88">
        <f t="shared" si="3"/>
        <v>6</v>
      </c>
      <c r="T26" s="88">
        <f t="shared" si="4"/>
        <v>0</v>
      </c>
      <c r="U26" s="88">
        <f t="shared" si="5"/>
        <v>5</v>
      </c>
      <c r="V26" s="88">
        <f t="shared" si="6"/>
        <v>0</v>
      </c>
      <c r="W26" s="88">
        <f t="shared" si="7"/>
        <v>0</v>
      </c>
      <c r="X26" s="88">
        <f t="shared" si="8"/>
        <v>0</v>
      </c>
      <c r="Y26" s="88">
        <f t="shared" si="9"/>
        <v>0</v>
      </c>
      <c r="Z26" s="88">
        <f t="shared" si="10"/>
        <v>2</v>
      </c>
      <c r="AD26" s="93"/>
      <c r="AE26" s="93"/>
    </row>
    <row r="27" spans="1:31" ht="20.100000000000001" customHeight="1">
      <c r="A27" s="108">
        <v>16</v>
      </c>
      <c r="B27" s="114" t="s">
        <v>77</v>
      </c>
      <c r="C27" s="119">
        <v>4</v>
      </c>
      <c r="D27" s="26">
        <v>3</v>
      </c>
      <c r="E27" s="26" t="s">
        <v>103</v>
      </c>
      <c r="F27" s="26" t="s">
        <v>103</v>
      </c>
      <c r="G27" s="26">
        <v>3</v>
      </c>
      <c r="H27" s="26"/>
      <c r="I27" s="26">
        <v>3</v>
      </c>
      <c r="J27" s="26"/>
      <c r="K27" s="26"/>
      <c r="L27" s="26">
        <v>2</v>
      </c>
      <c r="M27" s="96" t="s">
        <v>98</v>
      </c>
      <c r="N27" s="96" t="s">
        <v>98</v>
      </c>
      <c r="O27" s="97" t="s">
        <v>98</v>
      </c>
      <c r="P27" s="89"/>
      <c r="Q27" s="90"/>
      <c r="R27" s="24">
        <f t="shared" si="2"/>
        <v>4</v>
      </c>
      <c r="S27" s="88">
        <f t="shared" si="3"/>
        <v>1</v>
      </c>
      <c r="T27" s="88">
        <f t="shared" si="4"/>
        <v>0</v>
      </c>
      <c r="U27" s="88">
        <f t="shared" si="5"/>
        <v>0</v>
      </c>
      <c r="V27" s="88">
        <f t="shared" si="6"/>
        <v>0</v>
      </c>
      <c r="W27" s="88">
        <f t="shared" si="7"/>
        <v>0</v>
      </c>
      <c r="X27" s="88">
        <f t="shared" si="8"/>
        <v>3</v>
      </c>
      <c r="Y27" s="88">
        <f t="shared" si="9"/>
        <v>0</v>
      </c>
      <c r="Z27" s="88">
        <f t="shared" si="10"/>
        <v>4</v>
      </c>
      <c r="AD27" s="93"/>
      <c r="AE27" s="93"/>
    </row>
    <row r="28" spans="1:31" ht="20.100000000000001" customHeight="1">
      <c r="A28" s="124">
        <v>17</v>
      </c>
      <c r="B28" s="125" t="s">
        <v>78</v>
      </c>
      <c r="C28" s="126">
        <v>4</v>
      </c>
      <c r="D28" s="127">
        <v>4</v>
      </c>
      <c r="E28" s="127">
        <v>5</v>
      </c>
      <c r="F28" s="127">
        <v>3</v>
      </c>
      <c r="G28" s="127">
        <v>5</v>
      </c>
      <c r="H28" s="127"/>
      <c r="I28" s="127">
        <v>4</v>
      </c>
      <c r="J28" s="127"/>
      <c r="K28" s="127"/>
      <c r="L28" s="127">
        <v>4</v>
      </c>
      <c r="M28" s="96" t="s">
        <v>98</v>
      </c>
      <c r="N28" s="96" t="s">
        <v>98</v>
      </c>
      <c r="O28" s="97" t="s">
        <v>98</v>
      </c>
      <c r="P28" s="89"/>
      <c r="Q28" s="90"/>
      <c r="R28" s="24">
        <f t="shared" si="2"/>
        <v>7</v>
      </c>
      <c r="S28" s="88">
        <f t="shared" si="3"/>
        <v>6</v>
      </c>
      <c r="T28" s="88">
        <f>IF(AND(R28=$R$11, B28&lt;&gt;"", COUNTA(C28:O28)=$R$11, $R$11&lt;&gt;0),1,0)</f>
        <v>0</v>
      </c>
      <c r="U28" s="88">
        <f t="shared" si="5"/>
        <v>2</v>
      </c>
      <c r="V28" s="88">
        <f t="shared" si="6"/>
        <v>0</v>
      </c>
      <c r="W28" s="88">
        <f t="shared" si="7"/>
        <v>0</v>
      </c>
      <c r="X28" s="88">
        <f t="shared" si="8"/>
        <v>1</v>
      </c>
      <c r="Y28" s="88">
        <f t="shared" si="9"/>
        <v>0</v>
      </c>
      <c r="Z28" s="88">
        <f>IF(ISBLANK(B28), 0, $R$11-R28)</f>
        <v>1</v>
      </c>
      <c r="AD28" s="93"/>
      <c r="AE28" s="93"/>
    </row>
    <row r="29" spans="1:31" ht="20.100000000000001" customHeight="1">
      <c r="A29" s="108">
        <v>18</v>
      </c>
      <c r="B29" s="115" t="s">
        <v>100</v>
      </c>
      <c r="C29" s="119">
        <v>4</v>
      </c>
      <c r="D29" s="26">
        <v>3</v>
      </c>
      <c r="E29" s="26" t="s">
        <v>103</v>
      </c>
      <c r="F29" s="26">
        <v>2</v>
      </c>
      <c r="G29" s="26" t="s">
        <v>103</v>
      </c>
      <c r="H29" s="26"/>
      <c r="I29" s="26">
        <v>2</v>
      </c>
      <c r="J29" s="26"/>
      <c r="K29" s="26"/>
      <c r="L29" s="26">
        <v>3</v>
      </c>
      <c r="M29" s="96" t="s">
        <v>98</v>
      </c>
      <c r="N29" s="96" t="s">
        <v>98</v>
      </c>
      <c r="O29" s="97" t="s">
        <v>98</v>
      </c>
      <c r="P29" s="89"/>
      <c r="Q29" s="90"/>
      <c r="R29" s="24">
        <f t="shared" si="2"/>
        <v>3</v>
      </c>
      <c r="S29" s="88">
        <f t="shared" si="3"/>
        <v>1</v>
      </c>
      <c r="T29" s="88">
        <f>IF(AND(R29=$R$11, B29&lt;&gt;"", COUNTA(C29:O29)=$R$11, $R$11&lt;&gt;0),1,0)</f>
        <v>0</v>
      </c>
      <c r="U29" s="88">
        <f t="shared" si="5"/>
        <v>0</v>
      </c>
      <c r="V29" s="88">
        <f t="shared" si="6"/>
        <v>0</v>
      </c>
      <c r="W29" s="88">
        <f t="shared" si="7"/>
        <v>0</v>
      </c>
      <c r="X29" s="88">
        <f t="shared" si="8"/>
        <v>2</v>
      </c>
      <c r="Y29" s="88">
        <f t="shared" si="9"/>
        <v>0</v>
      </c>
      <c r="Z29" s="88">
        <f>IF(ISBLANK(B29), 0, $R$11-R29)</f>
        <v>5</v>
      </c>
      <c r="AD29" s="93"/>
      <c r="AE29" s="93"/>
    </row>
    <row r="30" spans="1:31" ht="20.100000000000001" customHeight="1">
      <c r="A30" s="108">
        <v>19</v>
      </c>
      <c r="B30" s="116" t="s">
        <v>79</v>
      </c>
      <c r="C30" s="119">
        <v>5</v>
      </c>
      <c r="D30" s="26">
        <v>5</v>
      </c>
      <c r="E30" s="26">
        <v>4</v>
      </c>
      <c r="F30" s="26" t="s">
        <v>103</v>
      </c>
      <c r="G30" s="26">
        <v>4</v>
      </c>
      <c r="H30" s="26"/>
      <c r="I30" s="26">
        <v>3</v>
      </c>
      <c r="J30" s="26"/>
      <c r="K30" s="26"/>
      <c r="L30" s="26">
        <v>5</v>
      </c>
      <c r="M30" s="96" t="s">
        <v>98</v>
      </c>
      <c r="N30" s="96" t="s">
        <v>98</v>
      </c>
      <c r="O30" s="97" t="s">
        <v>98</v>
      </c>
      <c r="P30" s="89"/>
      <c r="Q30" s="90"/>
      <c r="R30" s="24">
        <f t="shared" si="2"/>
        <v>6</v>
      </c>
      <c r="S30" s="88">
        <f t="shared" si="3"/>
        <v>5</v>
      </c>
      <c r="T30" s="88">
        <f>IF(AND(R30=$R$11, B30&lt;&gt;"", COUNTA(C30:O30)=$R$11, $R$11&lt;&gt;0),1,0)</f>
        <v>0</v>
      </c>
      <c r="U30" s="88">
        <f t="shared" si="5"/>
        <v>3</v>
      </c>
      <c r="V30" s="88">
        <f t="shared" si="6"/>
        <v>0</v>
      </c>
      <c r="W30" s="88">
        <f t="shared" si="7"/>
        <v>0</v>
      </c>
      <c r="X30" s="88">
        <f t="shared" si="8"/>
        <v>1</v>
      </c>
      <c r="Y30" s="88">
        <f t="shared" si="9"/>
        <v>0</v>
      </c>
      <c r="Z30" s="88">
        <f>IF(ISBLANK(B30), 0, $R$11-R30)</f>
        <v>2</v>
      </c>
      <c r="AD30" s="93"/>
      <c r="AE30" s="93"/>
    </row>
    <row r="31" spans="1:31" ht="20.100000000000001" customHeight="1">
      <c r="A31" s="108">
        <v>20</v>
      </c>
      <c r="B31" s="117" t="s">
        <v>80</v>
      </c>
      <c r="C31" s="119">
        <v>4</v>
      </c>
      <c r="D31" s="26">
        <v>4</v>
      </c>
      <c r="E31" s="26">
        <v>3</v>
      </c>
      <c r="F31" s="26">
        <v>3</v>
      </c>
      <c r="G31" s="26">
        <v>4</v>
      </c>
      <c r="H31" s="26"/>
      <c r="I31" s="26">
        <v>4</v>
      </c>
      <c r="J31" s="26"/>
      <c r="K31" s="26"/>
      <c r="L31" s="26">
        <v>4</v>
      </c>
      <c r="M31" s="96" t="s">
        <v>98</v>
      </c>
      <c r="N31" s="96" t="s">
        <v>98</v>
      </c>
      <c r="O31" s="97" t="s">
        <v>98</v>
      </c>
      <c r="P31" s="89"/>
      <c r="Q31" s="90"/>
      <c r="R31" s="24">
        <f t="shared" si="2"/>
        <v>7</v>
      </c>
      <c r="S31" s="88">
        <f t="shared" si="3"/>
        <v>5</v>
      </c>
      <c r="T31" s="88">
        <f>IF(AND(R31=$R$11, B31&lt;&gt;"", COUNTA(C31:O31)=$R$11, $R$11&lt;&gt;0),1,0)</f>
        <v>0</v>
      </c>
      <c r="U31" s="88">
        <f t="shared" si="5"/>
        <v>0</v>
      </c>
      <c r="V31" s="88">
        <f t="shared" si="6"/>
        <v>0</v>
      </c>
      <c r="W31" s="88">
        <f t="shared" si="7"/>
        <v>0</v>
      </c>
      <c r="X31" s="88">
        <f t="shared" si="8"/>
        <v>2</v>
      </c>
      <c r="Y31" s="88">
        <f t="shared" si="9"/>
        <v>0</v>
      </c>
      <c r="Z31" s="88">
        <f>IF(ISBLANK(B31), 0, $R$11-R31)</f>
        <v>1</v>
      </c>
      <c r="AD31" s="93"/>
      <c r="AE31" s="93"/>
    </row>
    <row r="32" spans="1:31" ht="20.100000000000001" customHeight="1">
      <c r="A32" s="108">
        <v>21</v>
      </c>
      <c r="B32" s="115" t="s">
        <v>81</v>
      </c>
      <c r="C32" s="119">
        <v>4</v>
      </c>
      <c r="D32" s="26">
        <v>5</v>
      </c>
      <c r="E32" s="26">
        <v>4</v>
      </c>
      <c r="F32" s="26">
        <v>4</v>
      </c>
      <c r="G32" s="26">
        <v>4</v>
      </c>
      <c r="H32" s="26"/>
      <c r="I32" s="26">
        <v>5</v>
      </c>
      <c r="J32" s="26"/>
      <c r="K32" s="26"/>
      <c r="L32" s="26">
        <v>4</v>
      </c>
      <c r="M32" s="96" t="s">
        <v>98</v>
      </c>
      <c r="N32" s="96" t="s">
        <v>98</v>
      </c>
      <c r="O32" s="97" t="s">
        <v>98</v>
      </c>
      <c r="P32" s="89"/>
      <c r="Q32" s="90"/>
      <c r="R32" s="24">
        <f t="shared" si="2"/>
        <v>7</v>
      </c>
      <c r="S32" s="88">
        <f t="shared" si="3"/>
        <v>7</v>
      </c>
      <c r="T32" s="88">
        <f t="shared" si="4"/>
        <v>0</v>
      </c>
      <c r="U32" s="88">
        <f t="shared" si="5"/>
        <v>2</v>
      </c>
      <c r="V32" s="88">
        <f t="shared" si="6"/>
        <v>0</v>
      </c>
      <c r="W32" s="88">
        <f t="shared" si="7"/>
        <v>0</v>
      </c>
      <c r="X32" s="88">
        <f t="shared" si="8"/>
        <v>0</v>
      </c>
      <c r="Y32" s="88">
        <f t="shared" si="9"/>
        <v>0</v>
      </c>
      <c r="Z32" s="88">
        <f t="shared" si="10"/>
        <v>1</v>
      </c>
      <c r="AD32" s="93"/>
      <c r="AE32" s="93"/>
    </row>
    <row r="33" spans="1:31" ht="20.100000000000001" customHeight="1">
      <c r="A33" s="108">
        <v>22</v>
      </c>
      <c r="B33" s="117" t="s">
        <v>82</v>
      </c>
      <c r="C33" s="119">
        <v>4</v>
      </c>
      <c r="D33" s="26">
        <v>5</v>
      </c>
      <c r="E33" s="26">
        <v>4</v>
      </c>
      <c r="F33" s="26">
        <v>3</v>
      </c>
      <c r="G33" s="26">
        <v>5</v>
      </c>
      <c r="H33" s="26"/>
      <c r="I33" s="26">
        <v>5</v>
      </c>
      <c r="J33" s="26"/>
      <c r="K33" s="26"/>
      <c r="L33" s="26">
        <v>4</v>
      </c>
      <c r="M33" s="96" t="s">
        <v>98</v>
      </c>
      <c r="N33" s="96" t="s">
        <v>98</v>
      </c>
      <c r="O33" s="97" t="s">
        <v>98</v>
      </c>
      <c r="P33" s="89"/>
      <c r="Q33" s="90"/>
      <c r="R33" s="24">
        <f t="shared" si="2"/>
        <v>7</v>
      </c>
      <c r="S33" s="88">
        <f t="shared" si="3"/>
        <v>6</v>
      </c>
      <c r="T33" s="88">
        <f t="shared" si="4"/>
        <v>0</v>
      </c>
      <c r="U33" s="88">
        <f t="shared" si="5"/>
        <v>3</v>
      </c>
      <c r="V33" s="88">
        <f t="shared" si="6"/>
        <v>0</v>
      </c>
      <c r="W33" s="88">
        <f t="shared" si="7"/>
        <v>0</v>
      </c>
      <c r="X33" s="88">
        <f t="shared" si="8"/>
        <v>1</v>
      </c>
      <c r="Y33" s="88">
        <f t="shared" si="9"/>
        <v>0</v>
      </c>
      <c r="Z33" s="88">
        <f t="shared" si="10"/>
        <v>1</v>
      </c>
      <c r="AD33" s="93"/>
      <c r="AE33" s="93"/>
    </row>
    <row r="34" spans="1:31" ht="20.100000000000001" customHeight="1">
      <c r="A34" s="124">
        <v>23</v>
      </c>
      <c r="B34" s="130" t="s">
        <v>83</v>
      </c>
      <c r="C34" s="126">
        <v>4</v>
      </c>
      <c r="D34" s="127">
        <v>4</v>
      </c>
      <c r="E34" s="127">
        <v>4</v>
      </c>
      <c r="F34" s="127">
        <v>4</v>
      </c>
      <c r="G34" s="127">
        <v>4</v>
      </c>
      <c r="H34" s="127"/>
      <c r="I34" s="127">
        <v>4</v>
      </c>
      <c r="J34" s="127"/>
      <c r="K34" s="127"/>
      <c r="L34" s="127">
        <v>5</v>
      </c>
      <c r="M34" s="96" t="s">
        <v>98</v>
      </c>
      <c r="N34" s="96" t="s">
        <v>98</v>
      </c>
      <c r="O34" s="97" t="s">
        <v>98</v>
      </c>
      <c r="P34" s="89"/>
      <c r="Q34" s="90"/>
      <c r="R34" s="24">
        <f t="shared" si="2"/>
        <v>7</v>
      </c>
      <c r="S34" s="88">
        <f t="shared" si="3"/>
        <v>7</v>
      </c>
      <c r="T34" s="88">
        <f t="shared" si="4"/>
        <v>0</v>
      </c>
      <c r="U34" s="88">
        <f t="shared" si="5"/>
        <v>1</v>
      </c>
      <c r="V34" s="88">
        <f t="shared" si="6"/>
        <v>0</v>
      </c>
      <c r="W34" s="88">
        <f t="shared" si="7"/>
        <v>0</v>
      </c>
      <c r="X34" s="88">
        <f t="shared" si="8"/>
        <v>0</v>
      </c>
      <c r="Y34" s="88">
        <f t="shared" si="9"/>
        <v>0</v>
      </c>
      <c r="Z34" s="88">
        <f t="shared" si="10"/>
        <v>1</v>
      </c>
      <c r="AD34" s="93"/>
      <c r="AE34" s="93"/>
    </row>
    <row r="35" spans="1:31" ht="20.100000000000001" customHeight="1">
      <c r="A35" s="108">
        <v>24</v>
      </c>
      <c r="B35" s="117" t="s">
        <v>84</v>
      </c>
      <c r="C35" s="120">
        <v>4</v>
      </c>
      <c r="D35" s="26">
        <v>5</v>
      </c>
      <c r="E35" s="26">
        <v>5</v>
      </c>
      <c r="F35" s="26">
        <v>4</v>
      </c>
      <c r="G35" s="26">
        <v>4</v>
      </c>
      <c r="H35" s="26"/>
      <c r="I35" s="26">
        <v>3</v>
      </c>
      <c r="J35" s="26"/>
      <c r="K35" s="26"/>
      <c r="L35" s="26">
        <v>5</v>
      </c>
      <c r="M35" s="96" t="s">
        <v>98</v>
      </c>
      <c r="N35" s="96" t="s">
        <v>98</v>
      </c>
      <c r="O35" s="97" t="s">
        <v>98</v>
      </c>
      <c r="P35" s="89"/>
      <c r="Q35" s="90"/>
      <c r="R35" s="24">
        <f t="shared" si="2"/>
        <v>7</v>
      </c>
      <c r="S35" s="88">
        <f t="shared" si="3"/>
        <v>6</v>
      </c>
      <c r="T35" s="88">
        <f t="shared" si="4"/>
        <v>0</v>
      </c>
      <c r="U35" s="88">
        <f t="shared" si="5"/>
        <v>3</v>
      </c>
      <c r="V35" s="88">
        <f t="shared" si="6"/>
        <v>0</v>
      </c>
      <c r="W35" s="88">
        <f t="shared" si="7"/>
        <v>0</v>
      </c>
      <c r="X35" s="88">
        <f t="shared" si="8"/>
        <v>1</v>
      </c>
      <c r="Y35" s="88">
        <f t="shared" si="9"/>
        <v>0</v>
      </c>
      <c r="Z35" s="88">
        <f t="shared" si="10"/>
        <v>1</v>
      </c>
      <c r="AD35" s="93"/>
      <c r="AE35" s="93"/>
    </row>
    <row r="36" spans="1:31" ht="20.100000000000001" customHeight="1">
      <c r="A36" s="108">
        <v>25</v>
      </c>
      <c r="B36" s="118" t="s">
        <v>85</v>
      </c>
      <c r="C36" s="120">
        <v>4</v>
      </c>
      <c r="D36" s="26">
        <v>4</v>
      </c>
      <c r="E36" s="26">
        <v>4</v>
      </c>
      <c r="F36" s="26" t="s">
        <v>103</v>
      </c>
      <c r="G36" s="26">
        <v>3</v>
      </c>
      <c r="H36" s="26"/>
      <c r="I36" s="26">
        <v>5</v>
      </c>
      <c r="J36" s="26"/>
      <c r="K36" s="26"/>
      <c r="L36" s="26">
        <v>5</v>
      </c>
      <c r="M36" s="96" t="s">
        <v>98</v>
      </c>
      <c r="N36" s="96" t="s">
        <v>98</v>
      </c>
      <c r="O36" s="97" t="s">
        <v>98</v>
      </c>
      <c r="P36" s="89"/>
      <c r="Q36" s="90"/>
      <c r="R36" s="24">
        <f t="shared" si="2"/>
        <v>6</v>
      </c>
      <c r="S36" s="88">
        <f t="shared" si="3"/>
        <v>5</v>
      </c>
      <c r="T36" s="88">
        <f t="shared" si="4"/>
        <v>0</v>
      </c>
      <c r="U36" s="88">
        <f t="shared" si="5"/>
        <v>2</v>
      </c>
      <c r="V36" s="88">
        <f t="shared" si="6"/>
        <v>0</v>
      </c>
      <c r="W36" s="88">
        <f t="shared" si="7"/>
        <v>0</v>
      </c>
      <c r="X36" s="88">
        <f t="shared" si="8"/>
        <v>1</v>
      </c>
      <c r="Y36" s="88">
        <f t="shared" si="9"/>
        <v>0</v>
      </c>
      <c r="Z36" s="88">
        <f t="shared" si="10"/>
        <v>2</v>
      </c>
      <c r="AD36" s="93"/>
      <c r="AE36" s="93"/>
    </row>
    <row r="37" spans="1:31" ht="20.100000000000001" customHeight="1">
      <c r="A37" s="108">
        <v>26</v>
      </c>
      <c r="B37" s="118" t="s">
        <v>86</v>
      </c>
      <c r="C37" s="122">
        <v>4</v>
      </c>
      <c r="D37" s="26">
        <v>4</v>
      </c>
      <c r="E37" s="26">
        <v>4</v>
      </c>
      <c r="F37" s="26" t="s">
        <v>103</v>
      </c>
      <c r="G37" s="26">
        <v>4</v>
      </c>
      <c r="H37" s="26"/>
      <c r="I37" s="26">
        <v>5</v>
      </c>
      <c r="J37" s="26"/>
      <c r="K37" s="26"/>
      <c r="L37" s="26">
        <v>4</v>
      </c>
      <c r="M37" s="96" t="s">
        <v>98</v>
      </c>
      <c r="N37" s="96" t="s">
        <v>98</v>
      </c>
      <c r="O37" s="97" t="s">
        <v>98</v>
      </c>
      <c r="P37" s="89"/>
      <c r="Q37" s="90"/>
      <c r="R37" s="24">
        <f t="shared" si="2"/>
        <v>6</v>
      </c>
      <c r="S37" s="88">
        <f t="shared" si="3"/>
        <v>6</v>
      </c>
      <c r="T37" s="88">
        <f t="shared" si="4"/>
        <v>0</v>
      </c>
      <c r="U37" s="88">
        <f t="shared" si="5"/>
        <v>1</v>
      </c>
      <c r="V37" s="88">
        <f t="shared" si="6"/>
        <v>0</v>
      </c>
      <c r="W37" s="88">
        <f t="shared" si="7"/>
        <v>0</v>
      </c>
      <c r="X37" s="88">
        <f t="shared" si="8"/>
        <v>0</v>
      </c>
      <c r="Y37" s="88">
        <f t="shared" si="9"/>
        <v>0</v>
      </c>
      <c r="Z37" s="88">
        <f t="shared" si="10"/>
        <v>2</v>
      </c>
      <c r="AD37" s="93"/>
      <c r="AE37" s="93"/>
    </row>
    <row r="38" spans="1:31" ht="20.100000000000001" customHeight="1">
      <c r="A38" s="108">
        <v>27</v>
      </c>
      <c r="B38" s="118" t="s">
        <v>87</v>
      </c>
      <c r="C38" s="122">
        <v>4</v>
      </c>
      <c r="D38" s="26">
        <v>5</v>
      </c>
      <c r="E38" s="26">
        <v>5</v>
      </c>
      <c r="F38" s="26">
        <v>3</v>
      </c>
      <c r="G38" s="26">
        <v>4</v>
      </c>
      <c r="H38" s="26"/>
      <c r="I38" s="26">
        <v>5</v>
      </c>
      <c r="J38" s="26"/>
      <c r="K38" s="26"/>
      <c r="L38" s="26">
        <v>5</v>
      </c>
      <c r="M38" s="96" t="s">
        <v>98</v>
      </c>
      <c r="N38" s="96" t="s">
        <v>98</v>
      </c>
      <c r="O38" s="97" t="s">
        <v>98</v>
      </c>
      <c r="P38" s="89"/>
      <c r="Q38" s="90"/>
      <c r="R38" s="24">
        <f t="shared" si="2"/>
        <v>7</v>
      </c>
      <c r="S38" s="88">
        <f t="shared" si="3"/>
        <v>6</v>
      </c>
      <c r="T38" s="88">
        <f t="shared" si="4"/>
        <v>0</v>
      </c>
      <c r="U38" s="88">
        <f t="shared" si="5"/>
        <v>4</v>
      </c>
      <c r="V38" s="88">
        <f t="shared" si="6"/>
        <v>0</v>
      </c>
      <c r="W38" s="88">
        <f t="shared" si="7"/>
        <v>0</v>
      </c>
      <c r="X38" s="88">
        <f t="shared" si="8"/>
        <v>1</v>
      </c>
      <c r="Y38" s="88">
        <f t="shared" si="9"/>
        <v>0</v>
      </c>
      <c r="Z38" s="88">
        <f t="shared" si="10"/>
        <v>1</v>
      </c>
      <c r="AD38" s="93"/>
      <c r="AE38" s="93"/>
    </row>
    <row r="39" spans="1:31" ht="20.100000000000001" customHeight="1">
      <c r="A39" s="108">
        <v>28</v>
      </c>
      <c r="B39" s="118" t="s">
        <v>88</v>
      </c>
      <c r="C39" s="122">
        <v>4</v>
      </c>
      <c r="D39" s="26">
        <v>4</v>
      </c>
      <c r="E39" s="26">
        <v>4</v>
      </c>
      <c r="F39" s="26" t="s">
        <v>103</v>
      </c>
      <c r="G39" s="26">
        <v>2</v>
      </c>
      <c r="H39" s="26"/>
      <c r="I39" s="26">
        <v>4</v>
      </c>
      <c r="J39" s="26"/>
      <c r="K39" s="26"/>
      <c r="L39" s="26">
        <v>3</v>
      </c>
      <c r="M39" s="96" t="s">
        <v>98</v>
      </c>
      <c r="N39" s="96" t="s">
        <v>98</v>
      </c>
      <c r="O39" s="97" t="s">
        <v>98</v>
      </c>
      <c r="P39" s="89"/>
      <c r="Q39" s="90"/>
      <c r="R39" s="24">
        <f t="shared" si="2"/>
        <v>5</v>
      </c>
      <c r="S39" s="88">
        <f t="shared" si="3"/>
        <v>4</v>
      </c>
      <c r="T39" s="88">
        <f t="shared" si="4"/>
        <v>0</v>
      </c>
      <c r="U39" s="88">
        <f t="shared" si="5"/>
        <v>0</v>
      </c>
      <c r="V39" s="88">
        <f t="shared" si="6"/>
        <v>0</v>
      </c>
      <c r="W39" s="88">
        <f t="shared" si="7"/>
        <v>0</v>
      </c>
      <c r="X39" s="88">
        <f t="shared" si="8"/>
        <v>1</v>
      </c>
      <c r="Y39" s="88">
        <f t="shared" si="9"/>
        <v>0</v>
      </c>
      <c r="Z39" s="88">
        <f t="shared" si="10"/>
        <v>3</v>
      </c>
      <c r="AD39" s="93"/>
      <c r="AE39" s="93"/>
    </row>
    <row r="40" spans="1:31" ht="20.100000000000001" customHeight="1">
      <c r="A40" s="108">
        <v>29</v>
      </c>
      <c r="B40" s="118" t="s">
        <v>89</v>
      </c>
      <c r="C40" s="122">
        <v>4</v>
      </c>
      <c r="D40" s="26">
        <v>4</v>
      </c>
      <c r="E40" s="26">
        <v>4</v>
      </c>
      <c r="F40" s="26">
        <v>2</v>
      </c>
      <c r="G40" s="26">
        <v>4</v>
      </c>
      <c r="H40" s="26"/>
      <c r="I40" s="26">
        <v>4</v>
      </c>
      <c r="J40" s="26"/>
      <c r="K40" s="26"/>
      <c r="L40" s="26">
        <v>3</v>
      </c>
      <c r="M40" s="96" t="s">
        <v>98</v>
      </c>
      <c r="N40" s="96" t="s">
        <v>98</v>
      </c>
      <c r="O40" s="97" t="s">
        <v>98</v>
      </c>
      <c r="P40" s="89"/>
      <c r="Q40" s="90"/>
      <c r="R40" s="24">
        <f t="shared" si="2"/>
        <v>6</v>
      </c>
      <c r="S40" s="88">
        <f t="shared" si="3"/>
        <v>5</v>
      </c>
      <c r="T40" s="88">
        <f t="shared" si="4"/>
        <v>0</v>
      </c>
      <c r="U40" s="88">
        <f t="shared" si="5"/>
        <v>0</v>
      </c>
      <c r="V40" s="88">
        <f t="shared" si="6"/>
        <v>0</v>
      </c>
      <c r="W40" s="88">
        <f t="shared" si="7"/>
        <v>0</v>
      </c>
      <c r="X40" s="88">
        <f t="shared" si="8"/>
        <v>1</v>
      </c>
      <c r="Y40" s="88">
        <f t="shared" si="9"/>
        <v>0</v>
      </c>
      <c r="Z40" s="88">
        <f t="shared" si="10"/>
        <v>2</v>
      </c>
      <c r="AD40" s="93"/>
      <c r="AE40" s="93"/>
    </row>
    <row r="41" spans="1:31" ht="20.100000000000001" customHeight="1">
      <c r="A41" s="108">
        <v>30</v>
      </c>
      <c r="B41" s="118" t="s">
        <v>90</v>
      </c>
      <c r="C41" s="122">
        <v>3</v>
      </c>
      <c r="D41" s="26">
        <v>4</v>
      </c>
      <c r="E41" s="26">
        <v>4</v>
      </c>
      <c r="F41" s="26">
        <v>3</v>
      </c>
      <c r="G41" s="26">
        <v>3</v>
      </c>
      <c r="H41" s="26"/>
      <c r="I41" s="26">
        <v>4</v>
      </c>
      <c r="J41" s="26"/>
      <c r="K41" s="26"/>
      <c r="L41" s="26">
        <v>4</v>
      </c>
      <c r="M41" s="96" t="s">
        <v>98</v>
      </c>
      <c r="N41" s="96" t="s">
        <v>98</v>
      </c>
      <c r="O41" s="97" t="s">
        <v>98</v>
      </c>
      <c r="P41" s="89"/>
      <c r="Q41" s="90"/>
      <c r="R41" s="24">
        <f t="shared" si="2"/>
        <v>7</v>
      </c>
      <c r="S41" s="88">
        <f t="shared" si="3"/>
        <v>4</v>
      </c>
      <c r="T41" s="88">
        <f t="shared" si="4"/>
        <v>0</v>
      </c>
      <c r="U41" s="88">
        <f t="shared" si="5"/>
        <v>0</v>
      </c>
      <c r="V41" s="88">
        <f t="shared" si="6"/>
        <v>0</v>
      </c>
      <c r="W41" s="88">
        <f t="shared" si="7"/>
        <v>0</v>
      </c>
      <c r="X41" s="88">
        <f t="shared" si="8"/>
        <v>3</v>
      </c>
      <c r="Y41" s="88">
        <f t="shared" si="9"/>
        <v>0</v>
      </c>
      <c r="Z41" s="88">
        <f t="shared" si="10"/>
        <v>1</v>
      </c>
      <c r="AD41" s="93"/>
      <c r="AE41" s="93"/>
    </row>
    <row r="42" spans="1:31" ht="20.100000000000001" customHeight="1" thickBot="1">
      <c r="A42" s="108">
        <v>31</v>
      </c>
      <c r="B42" s="118" t="s">
        <v>91</v>
      </c>
      <c r="C42" s="123">
        <v>3</v>
      </c>
      <c r="D42" s="26">
        <v>3</v>
      </c>
      <c r="E42" s="26">
        <v>3</v>
      </c>
      <c r="F42" s="26">
        <v>2</v>
      </c>
      <c r="G42" s="26">
        <v>2</v>
      </c>
      <c r="H42" s="26"/>
      <c r="I42" s="26">
        <v>3</v>
      </c>
      <c r="J42" s="26"/>
      <c r="K42" s="26"/>
      <c r="L42" s="26">
        <v>3</v>
      </c>
      <c r="M42" s="96" t="s">
        <v>98</v>
      </c>
      <c r="N42" s="96" t="s">
        <v>98</v>
      </c>
      <c r="O42" s="97" t="s">
        <v>98</v>
      </c>
      <c r="P42" s="89"/>
      <c r="Q42" s="90"/>
      <c r="R42" s="24">
        <f t="shared" si="2"/>
        <v>5</v>
      </c>
      <c r="S42" s="88">
        <f t="shared" si="3"/>
        <v>0</v>
      </c>
      <c r="T42" s="88">
        <f t="shared" si="4"/>
        <v>0</v>
      </c>
      <c r="U42" s="88">
        <f t="shared" si="5"/>
        <v>0</v>
      </c>
      <c r="V42" s="88">
        <f t="shared" si="6"/>
        <v>0</v>
      </c>
      <c r="W42" s="88">
        <f t="shared" si="7"/>
        <v>0</v>
      </c>
      <c r="X42" s="88">
        <f t="shared" si="8"/>
        <v>5</v>
      </c>
      <c r="Y42" s="88">
        <f t="shared" si="9"/>
        <v>0</v>
      </c>
      <c r="Z42" s="88">
        <f t="shared" si="10"/>
        <v>3</v>
      </c>
      <c r="AD42" s="93"/>
      <c r="AE42" s="93"/>
    </row>
    <row r="43" spans="1:31" ht="20.100000000000001" customHeight="1">
      <c r="A43" s="148" t="s">
        <v>4</v>
      </c>
      <c r="B43" s="149"/>
      <c r="C43" s="70">
        <f t="shared" ref="C43:O43" si="11">COUNTIF(C12:C42,5)+COUNTIF(C12:O12,"зач.")+COUNTIF(C12:O12,"зачёт")+COUNTIF(C12:O12,"зачтено")</f>
        <v>2</v>
      </c>
      <c r="D43" s="70">
        <f t="shared" si="11"/>
        <v>9</v>
      </c>
      <c r="E43" s="70">
        <f t="shared" si="11"/>
        <v>12</v>
      </c>
      <c r="F43" s="70">
        <f t="shared" si="11"/>
        <v>3</v>
      </c>
      <c r="G43" s="70">
        <f t="shared" si="11"/>
        <v>9</v>
      </c>
      <c r="H43" s="70">
        <f t="shared" si="11"/>
        <v>0</v>
      </c>
      <c r="I43" s="70">
        <f t="shared" si="11"/>
        <v>12</v>
      </c>
      <c r="J43" s="70">
        <f t="shared" si="11"/>
        <v>0</v>
      </c>
      <c r="K43" s="70">
        <f t="shared" si="11"/>
        <v>0</v>
      </c>
      <c r="L43" s="70">
        <f t="shared" si="11"/>
        <v>11</v>
      </c>
      <c r="M43" s="70">
        <f t="shared" si="11"/>
        <v>0</v>
      </c>
      <c r="N43" s="70">
        <f t="shared" si="11"/>
        <v>0</v>
      </c>
      <c r="O43" s="70">
        <f t="shared" si="11"/>
        <v>0</v>
      </c>
      <c r="P43" s="150"/>
      <c r="Q43" s="151"/>
      <c r="AD43" s="93"/>
      <c r="AE43" s="93"/>
    </row>
    <row r="44" spans="1:31" ht="20.100000000000001" customHeight="1">
      <c r="A44" s="131" t="s">
        <v>5</v>
      </c>
      <c r="B44" s="132"/>
      <c r="C44" s="57">
        <f t="shared" ref="C44:O44" si="12">COUNTIF(C12:C42,4)</f>
        <v>27</v>
      </c>
      <c r="D44" s="57">
        <f t="shared" si="12"/>
        <v>19</v>
      </c>
      <c r="E44" s="57">
        <f t="shared" si="12"/>
        <v>14</v>
      </c>
      <c r="F44" s="57">
        <f t="shared" si="12"/>
        <v>8</v>
      </c>
      <c r="G44" s="57">
        <f t="shared" si="12"/>
        <v>14</v>
      </c>
      <c r="H44" s="57">
        <f t="shared" si="12"/>
        <v>0</v>
      </c>
      <c r="I44" s="57">
        <f t="shared" si="12"/>
        <v>13</v>
      </c>
      <c r="J44" s="57">
        <f t="shared" si="12"/>
        <v>0</v>
      </c>
      <c r="K44" s="57">
        <f t="shared" si="12"/>
        <v>0</v>
      </c>
      <c r="L44" s="57">
        <f t="shared" si="12"/>
        <v>13</v>
      </c>
      <c r="M44" s="57">
        <f t="shared" si="12"/>
        <v>0</v>
      </c>
      <c r="N44" s="57">
        <f t="shared" si="12"/>
        <v>0</v>
      </c>
      <c r="O44" s="57">
        <f t="shared" si="12"/>
        <v>0</v>
      </c>
      <c r="P44" s="133"/>
      <c r="Q44" s="134"/>
      <c r="AD44" s="93"/>
      <c r="AE44" s="93"/>
    </row>
    <row r="45" spans="1:31" ht="20.100000000000001" customHeight="1">
      <c r="A45" s="131" t="s">
        <v>0</v>
      </c>
      <c r="B45" s="132" t="s">
        <v>0</v>
      </c>
      <c r="C45" s="57">
        <f t="shared" ref="C45:O45" si="13">COUNTIF(C12:C42,3)</f>
        <v>2</v>
      </c>
      <c r="D45" s="57">
        <f t="shared" si="13"/>
        <v>3</v>
      </c>
      <c r="E45" s="57">
        <f t="shared" si="13"/>
        <v>2</v>
      </c>
      <c r="F45" s="57">
        <f t="shared" si="13"/>
        <v>9</v>
      </c>
      <c r="G45" s="57">
        <f t="shared" si="13"/>
        <v>4</v>
      </c>
      <c r="H45" s="57">
        <f t="shared" si="13"/>
        <v>0</v>
      </c>
      <c r="I45" s="57">
        <f t="shared" si="13"/>
        <v>4</v>
      </c>
      <c r="J45" s="57">
        <f t="shared" si="13"/>
        <v>0</v>
      </c>
      <c r="K45" s="57">
        <f t="shared" si="13"/>
        <v>0</v>
      </c>
      <c r="L45" s="57">
        <f t="shared" si="13"/>
        <v>4</v>
      </c>
      <c r="M45" s="57">
        <f t="shared" si="13"/>
        <v>0</v>
      </c>
      <c r="N45" s="57">
        <f t="shared" si="13"/>
        <v>0</v>
      </c>
      <c r="O45" s="57">
        <f t="shared" si="13"/>
        <v>0</v>
      </c>
      <c r="P45" s="133"/>
      <c r="Q45" s="134"/>
      <c r="AD45" s="93"/>
      <c r="AE45" s="93"/>
    </row>
    <row r="46" spans="1:31" ht="20.100000000000001" customHeight="1">
      <c r="A46" s="131" t="s">
        <v>1</v>
      </c>
      <c r="B46" s="132" t="s">
        <v>1</v>
      </c>
      <c r="C46" s="57">
        <f t="shared" ref="C46:O46" si="14">COUNTIF(C12:C42,2)</f>
        <v>0</v>
      </c>
      <c r="D46" s="57">
        <f t="shared" si="14"/>
        <v>0</v>
      </c>
      <c r="E46" s="57">
        <f t="shared" si="14"/>
        <v>0</v>
      </c>
      <c r="F46" s="57">
        <f t="shared" si="14"/>
        <v>3</v>
      </c>
      <c r="G46" s="57">
        <f t="shared" si="14"/>
        <v>2</v>
      </c>
      <c r="H46" s="57">
        <f t="shared" si="14"/>
        <v>0</v>
      </c>
      <c r="I46" s="57">
        <f t="shared" si="14"/>
        <v>2</v>
      </c>
      <c r="J46" s="57">
        <f t="shared" si="14"/>
        <v>0</v>
      </c>
      <c r="K46" s="57">
        <f t="shared" si="14"/>
        <v>0</v>
      </c>
      <c r="L46" s="57">
        <f t="shared" si="14"/>
        <v>3</v>
      </c>
      <c r="M46" s="57">
        <f t="shared" si="14"/>
        <v>0</v>
      </c>
      <c r="N46" s="57">
        <f t="shared" si="14"/>
        <v>0</v>
      </c>
      <c r="O46" s="57">
        <f t="shared" si="14"/>
        <v>0</v>
      </c>
      <c r="P46" s="133"/>
      <c r="Q46" s="134"/>
      <c r="AD46" s="93"/>
      <c r="AE46" s="93"/>
    </row>
    <row r="47" spans="1:31" ht="20.100000000000001" customHeight="1">
      <c r="A47" s="131" t="s">
        <v>6</v>
      </c>
      <c r="B47" s="132" t="s">
        <v>6</v>
      </c>
      <c r="C47" s="57">
        <f>$C$50-SUM(C43:C45)</f>
        <v>0</v>
      </c>
      <c r="D47" s="57">
        <f t="shared" ref="D47:O47" si="15">$C$50-SUM(D43:D45)</f>
        <v>0</v>
      </c>
      <c r="E47" s="57">
        <f t="shared" si="15"/>
        <v>3</v>
      </c>
      <c r="F47" s="57">
        <f t="shared" si="15"/>
        <v>11</v>
      </c>
      <c r="G47" s="57">
        <f t="shared" si="15"/>
        <v>4</v>
      </c>
      <c r="H47" s="57">
        <f t="shared" si="15"/>
        <v>31</v>
      </c>
      <c r="I47" s="57">
        <f t="shared" si="15"/>
        <v>2</v>
      </c>
      <c r="J47" s="57">
        <f t="shared" si="15"/>
        <v>31</v>
      </c>
      <c r="K47" s="57">
        <f t="shared" si="15"/>
        <v>31</v>
      </c>
      <c r="L47" s="57">
        <f t="shared" si="15"/>
        <v>3</v>
      </c>
      <c r="M47" s="57">
        <f t="shared" si="15"/>
        <v>31</v>
      </c>
      <c r="N47" s="57">
        <f t="shared" si="15"/>
        <v>31</v>
      </c>
      <c r="O47" s="57">
        <f t="shared" si="15"/>
        <v>31</v>
      </c>
      <c r="P47" s="133"/>
      <c r="Q47" s="134"/>
      <c r="AD47" s="93"/>
      <c r="AE47" s="93"/>
    </row>
    <row r="48" spans="1:31" ht="20.100000000000001" customHeight="1">
      <c r="A48" s="131" t="s">
        <v>7</v>
      </c>
      <c r="B48" s="132" t="s">
        <v>7</v>
      </c>
      <c r="C48" s="58">
        <f t="shared" ref="C48:O48" si="16">(C43+C44+C45)/$C$50</f>
        <v>1</v>
      </c>
      <c r="D48" s="58">
        <f t="shared" si="16"/>
        <v>1</v>
      </c>
      <c r="E48" s="58">
        <f t="shared" si="16"/>
        <v>0.90322580645161288</v>
      </c>
      <c r="F48" s="58">
        <f t="shared" si="16"/>
        <v>0.64516129032258063</v>
      </c>
      <c r="G48" s="58">
        <f t="shared" si="16"/>
        <v>0.87096774193548387</v>
      </c>
      <c r="H48" s="58">
        <f t="shared" si="16"/>
        <v>0</v>
      </c>
      <c r="I48" s="58">
        <f t="shared" si="16"/>
        <v>0.93548387096774188</v>
      </c>
      <c r="J48" s="58">
        <f t="shared" si="16"/>
        <v>0</v>
      </c>
      <c r="K48" s="58">
        <f t="shared" si="16"/>
        <v>0</v>
      </c>
      <c r="L48" s="58">
        <f t="shared" si="16"/>
        <v>0.90322580645161288</v>
      </c>
      <c r="M48" s="58">
        <f t="shared" si="16"/>
        <v>0</v>
      </c>
      <c r="N48" s="58">
        <f t="shared" si="16"/>
        <v>0</v>
      </c>
      <c r="O48" s="58">
        <f t="shared" si="16"/>
        <v>0</v>
      </c>
      <c r="P48" s="133"/>
      <c r="Q48" s="134"/>
      <c r="AD48" s="93"/>
      <c r="AE48" s="93"/>
    </row>
    <row r="49" spans="1:31" ht="20.100000000000001" customHeight="1" thickBot="1">
      <c r="A49" s="138" t="s">
        <v>8</v>
      </c>
      <c r="B49" s="139" t="s">
        <v>8</v>
      </c>
      <c r="C49" s="59">
        <f t="shared" ref="C49:O49" si="17">(C43+C44)/$C$50</f>
        <v>0.93548387096774188</v>
      </c>
      <c r="D49" s="59">
        <f t="shared" si="17"/>
        <v>0.90322580645161288</v>
      </c>
      <c r="E49" s="59">
        <f t="shared" si="17"/>
        <v>0.83870967741935487</v>
      </c>
      <c r="F49" s="59">
        <f t="shared" si="17"/>
        <v>0.35483870967741937</v>
      </c>
      <c r="G49" s="59">
        <f t="shared" si="17"/>
        <v>0.74193548387096775</v>
      </c>
      <c r="H49" s="59">
        <f t="shared" si="17"/>
        <v>0</v>
      </c>
      <c r="I49" s="59">
        <f t="shared" si="17"/>
        <v>0.80645161290322576</v>
      </c>
      <c r="J49" s="59">
        <f t="shared" si="17"/>
        <v>0</v>
      </c>
      <c r="K49" s="59">
        <f t="shared" si="17"/>
        <v>0</v>
      </c>
      <c r="L49" s="59">
        <f t="shared" si="17"/>
        <v>0.77419354838709675</v>
      </c>
      <c r="M49" s="59">
        <f t="shared" si="17"/>
        <v>0</v>
      </c>
      <c r="N49" s="59">
        <f t="shared" si="17"/>
        <v>0</v>
      </c>
      <c r="O49" s="59">
        <f t="shared" si="17"/>
        <v>0</v>
      </c>
      <c r="P49" s="140"/>
      <c r="Q49" s="141"/>
      <c r="AD49" s="93"/>
      <c r="AE49" s="93"/>
    </row>
    <row r="50" spans="1:31" ht="31.5" customHeight="1">
      <c r="A50" s="17"/>
      <c r="B50" s="17" t="s">
        <v>15</v>
      </c>
      <c r="C50" s="27">
        <f>COUNTA(B12:B42)</f>
        <v>31</v>
      </c>
      <c r="D50" s="17"/>
      <c r="E50"/>
      <c r="F50"/>
      <c r="G50"/>
      <c r="H50"/>
      <c r="I50"/>
      <c r="J50"/>
      <c r="K50"/>
      <c r="L50"/>
      <c r="M50"/>
      <c r="N50"/>
      <c r="O50"/>
      <c r="AD50" s="93"/>
      <c r="AE50" s="93"/>
    </row>
    <row r="51" spans="1:31" ht="15" customHeight="1">
      <c r="A51" s="13"/>
      <c r="B51" s="13" t="s">
        <v>12</v>
      </c>
      <c r="C51" s="18">
        <f>C50</f>
        <v>31</v>
      </c>
      <c r="D51" s="19"/>
      <c r="E51"/>
      <c r="F51"/>
      <c r="G51"/>
      <c r="H51"/>
      <c r="I51"/>
      <c r="J51"/>
      <c r="K51"/>
      <c r="L51"/>
      <c r="M51"/>
      <c r="N51"/>
      <c r="O51"/>
      <c r="AD51" s="93"/>
      <c r="AE51" s="93"/>
    </row>
    <row r="52" spans="1:31" ht="15" customHeight="1">
      <c r="A52" s="13"/>
      <c r="B52" s="13" t="s">
        <v>16</v>
      </c>
      <c r="C52" s="16">
        <v>25</v>
      </c>
      <c r="D52" s="20">
        <f t="shared" ref="D52:D58" si="18">C52/$C$51</f>
        <v>0.80645161290322576</v>
      </c>
      <c r="E52"/>
      <c r="F52"/>
      <c r="G52"/>
      <c r="H52"/>
      <c r="I52"/>
      <c r="J52"/>
      <c r="K52"/>
      <c r="L52"/>
      <c r="M52"/>
      <c r="N52"/>
      <c r="O52"/>
    </row>
    <row r="53" spans="1:31" ht="15" customHeight="1">
      <c r="A53" s="13"/>
      <c r="B53" s="13" t="s">
        <v>17</v>
      </c>
      <c r="C53" s="18">
        <f>COUNTIF(V12:V42,1)</f>
        <v>0</v>
      </c>
      <c r="D53" s="20">
        <f t="shared" si="18"/>
        <v>0</v>
      </c>
      <c r="E53"/>
      <c r="F53"/>
      <c r="G53"/>
      <c r="H53"/>
      <c r="I53"/>
      <c r="J53"/>
      <c r="K53"/>
      <c r="L53"/>
      <c r="M53"/>
      <c r="N53"/>
      <c r="O53"/>
    </row>
    <row r="54" spans="1:31" ht="15" customHeight="1">
      <c r="A54" s="13"/>
      <c r="B54" s="13" t="s">
        <v>18</v>
      </c>
      <c r="C54" s="18">
        <v>10</v>
      </c>
      <c r="D54" s="20">
        <f t="shared" si="18"/>
        <v>0.32258064516129031</v>
      </c>
      <c r="E54"/>
      <c r="F54"/>
      <c r="G54"/>
      <c r="H54"/>
      <c r="I54"/>
      <c r="J54"/>
      <c r="K54"/>
      <c r="L54"/>
      <c r="M54"/>
      <c r="N54"/>
      <c r="O54"/>
    </row>
    <row r="55" spans="1:31" ht="15" customHeight="1">
      <c r="A55" s="13"/>
      <c r="B55" s="13" t="s">
        <v>19</v>
      </c>
      <c r="C55" s="18">
        <v>12</v>
      </c>
      <c r="D55" s="20">
        <f t="shared" si="18"/>
        <v>0.38709677419354838</v>
      </c>
      <c r="E55"/>
      <c r="F55"/>
      <c r="G55"/>
      <c r="H55"/>
      <c r="I55"/>
      <c r="J55"/>
      <c r="K55"/>
      <c r="L55"/>
      <c r="M55"/>
      <c r="N55"/>
      <c r="O55"/>
    </row>
    <row r="56" spans="1:31" ht="32.25" customHeight="1">
      <c r="A56" s="13"/>
      <c r="B56" s="13" t="s">
        <v>20</v>
      </c>
      <c r="C56" s="55">
        <f>COUNTIF(T12:T42,0)-COUNT(A12:A42)+$C$51</f>
        <v>31</v>
      </c>
      <c r="D56" s="56">
        <f t="shared" si="18"/>
        <v>1</v>
      </c>
      <c r="E56"/>
      <c r="F56"/>
      <c r="G56"/>
      <c r="H56"/>
      <c r="I56"/>
      <c r="J56"/>
      <c r="K56"/>
      <c r="L56"/>
      <c r="M56"/>
      <c r="N56"/>
      <c r="O56"/>
    </row>
    <row r="57" spans="1:31" ht="28.5" customHeight="1">
      <c r="A57" s="13"/>
      <c r="B57" s="13" t="s">
        <v>21</v>
      </c>
      <c r="C57" s="18">
        <v>4</v>
      </c>
      <c r="D57" s="20">
        <f t="shared" si="18"/>
        <v>0.12903225806451613</v>
      </c>
      <c r="E57"/>
      <c r="F57"/>
      <c r="G57"/>
      <c r="H57"/>
      <c r="I57"/>
      <c r="J57"/>
      <c r="K57"/>
      <c r="L57"/>
      <c r="M57"/>
      <c r="N57"/>
      <c r="O57"/>
    </row>
    <row r="58" spans="1:31" ht="28.5" customHeight="1">
      <c r="A58" s="14"/>
      <c r="B58" s="15" t="s">
        <v>22</v>
      </c>
      <c r="C58" s="55">
        <v>3</v>
      </c>
      <c r="D58" s="56">
        <f t="shared" si="18"/>
        <v>9.6774193548387094E-2</v>
      </c>
      <c r="E58"/>
      <c r="F58"/>
      <c r="G58"/>
      <c r="H58"/>
      <c r="I58"/>
      <c r="J58"/>
      <c r="K58"/>
      <c r="L58"/>
      <c r="M58"/>
      <c r="N58"/>
      <c r="O58"/>
    </row>
    <row r="59" spans="1:31" ht="30" customHeight="1">
      <c r="A59" s="14"/>
      <c r="B59" s="15" t="s">
        <v>23</v>
      </c>
      <c r="C59" s="13"/>
      <c r="D59" s="13"/>
      <c r="E59"/>
      <c r="F59"/>
      <c r="G59"/>
      <c r="H59"/>
      <c r="I59"/>
      <c r="J59"/>
      <c r="K59"/>
      <c r="L59"/>
      <c r="M59"/>
      <c r="N59"/>
      <c r="O59"/>
    </row>
    <row r="60" spans="1:31" ht="15" customHeight="1">
      <c r="A60" s="25"/>
      <c r="B60" s="135" t="s">
        <v>104</v>
      </c>
      <c r="C60" s="135"/>
      <c r="D60" s="135"/>
      <c r="E60"/>
      <c r="F60"/>
      <c r="G60"/>
      <c r="H60"/>
      <c r="I60"/>
      <c r="J60"/>
      <c r="K60"/>
      <c r="L60"/>
      <c r="M60"/>
      <c r="N60"/>
      <c r="O60"/>
    </row>
    <row r="61" spans="1:31" ht="15" customHeight="1">
      <c r="A61" s="12"/>
      <c r="B61" s="142" t="s">
        <v>105</v>
      </c>
      <c r="C61" s="142"/>
      <c r="D61" s="142"/>
    </row>
    <row r="62" spans="1:31" ht="15" customHeight="1">
      <c r="A62" s="12"/>
      <c r="B62" s="143" t="s">
        <v>106</v>
      </c>
      <c r="C62" s="143"/>
      <c r="D62" s="143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</row>
    <row r="63" spans="1:31" ht="15" customHeight="1">
      <c r="A63" s="12"/>
      <c r="B63" s="135" t="s">
        <v>107</v>
      </c>
      <c r="C63" s="135"/>
      <c r="D63" s="135"/>
    </row>
    <row r="64" spans="1:31" ht="15" customHeight="1">
      <c r="A64" s="12"/>
      <c r="B64" s="135" t="s">
        <v>108</v>
      </c>
      <c r="C64" s="135"/>
      <c r="D64" s="135"/>
    </row>
    <row r="65" spans="1:29" ht="15" customHeight="1">
      <c r="A65" s="12"/>
      <c r="B65" s="135" t="s">
        <v>109</v>
      </c>
      <c r="C65" s="135"/>
      <c r="D65" s="135"/>
    </row>
    <row r="66" spans="1:29" ht="15" customHeight="1">
      <c r="A66" s="12"/>
      <c r="B66" s="135" t="s">
        <v>110</v>
      </c>
      <c r="C66" s="135"/>
      <c r="D66" s="135"/>
    </row>
    <row r="67" spans="1:29" ht="15" customHeight="1">
      <c r="A67" s="12"/>
      <c r="B67" s="135" t="s">
        <v>111</v>
      </c>
      <c r="C67" s="135"/>
      <c r="D67" s="135"/>
    </row>
    <row r="68" spans="1:29" ht="31.5" customHeight="1">
      <c r="A68" s="12"/>
      <c r="B68" s="21" t="s">
        <v>31</v>
      </c>
      <c r="C68" s="136"/>
      <c r="D68" s="136"/>
      <c r="E68" s="137"/>
      <c r="F68" s="137"/>
      <c r="G68" s="137"/>
      <c r="H68" s="137"/>
    </row>
    <row r="69" spans="1:29" ht="15" customHeight="1">
      <c r="A69" s="12"/>
      <c r="B69" s="9"/>
      <c r="C69" s="22"/>
    </row>
    <row r="70" spans="1:29" ht="15" customHeight="1">
      <c r="A70" s="12"/>
      <c r="B70" s="9"/>
      <c r="C70" s="22"/>
    </row>
    <row r="71" spans="1:29" ht="15" customHeight="1">
      <c r="A71" s="12"/>
      <c r="B71" s="9"/>
      <c r="C71" s="22"/>
    </row>
    <row r="72" spans="1:29" ht="15" customHeight="1">
      <c r="A72" s="12"/>
      <c r="B72" s="9"/>
      <c r="C72" s="22"/>
    </row>
    <row r="73" spans="1:29" ht="15" customHeight="1">
      <c r="A73" s="12"/>
      <c r="B73" s="9"/>
      <c r="C73" s="22"/>
    </row>
    <row r="74" spans="1:29" ht="15" customHeight="1">
      <c r="A74" s="12"/>
      <c r="B74" s="9"/>
      <c r="C74" s="22"/>
    </row>
    <row r="75" spans="1:29" s="7" customFormat="1" ht="15" customHeight="1">
      <c r="A75" s="12"/>
      <c r="B75" s="9"/>
      <c r="C75" s="22"/>
      <c r="P75"/>
      <c r="Q75"/>
      <c r="R75" s="94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</row>
    <row r="76" spans="1:29" s="7" customFormat="1" ht="15" customHeight="1">
      <c r="A76" s="12"/>
      <c r="B76" s="9"/>
      <c r="C76" s="22"/>
      <c r="P76"/>
      <c r="Q76"/>
      <c r="R76" s="94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</row>
    <row r="77" spans="1:29" s="7" customFormat="1" ht="74.25" customHeight="1">
      <c r="A77" s="12"/>
      <c r="B77" s="9"/>
      <c r="C77" s="22"/>
      <c r="P77"/>
      <c r="Q77"/>
      <c r="R77" s="94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</row>
    <row r="78" spans="1:29" s="7" customFormat="1" ht="15" customHeight="1">
      <c r="A78" s="12"/>
      <c r="B78" s="9"/>
      <c r="C78" s="22"/>
      <c r="P78"/>
      <c r="Q78"/>
      <c r="R78" s="94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</row>
    <row r="79" spans="1:29" s="7" customFormat="1" ht="15.6">
      <c r="A79" s="12"/>
      <c r="B79" s="9"/>
      <c r="C79" s="10"/>
      <c r="P79"/>
      <c r="Q79"/>
      <c r="R79" s="94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</row>
    <row r="80" spans="1:29" s="7" customFormat="1" ht="15.6">
      <c r="A80" s="12"/>
      <c r="B80" s="9"/>
      <c r="C80" s="10"/>
      <c r="P80"/>
      <c r="Q80"/>
      <c r="R80" s="94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</row>
    <row r="81" spans="1:29" s="7" customFormat="1" ht="15.6">
      <c r="A81" s="1"/>
      <c r="B81"/>
      <c r="P81"/>
      <c r="Q81"/>
      <c r="R81" s="94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</row>
    <row r="82" spans="1:29" s="7" customFormat="1" ht="15.6">
      <c r="A82" s="1"/>
      <c r="B8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</sheetData>
  <sheetProtection selectLockedCells="1"/>
  <mergeCells count="39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45:B45"/>
    <mergeCell ref="P45:Q45"/>
    <mergeCell ref="P17:Q17"/>
    <mergeCell ref="P18:Q18"/>
    <mergeCell ref="A43:B43"/>
    <mergeCell ref="P43:Q43"/>
    <mergeCell ref="A44:B44"/>
    <mergeCell ref="P44:Q44"/>
    <mergeCell ref="B67:D67"/>
    <mergeCell ref="C68:D68"/>
    <mergeCell ref="E68:H68"/>
    <mergeCell ref="A49:B49"/>
    <mergeCell ref="P49:Q49"/>
    <mergeCell ref="B60:D60"/>
    <mergeCell ref="B63:D63"/>
    <mergeCell ref="B61:D61"/>
    <mergeCell ref="B64:D64"/>
    <mergeCell ref="B65:D65"/>
    <mergeCell ref="B66:D66"/>
    <mergeCell ref="B62:D62"/>
    <mergeCell ref="A46:B46"/>
    <mergeCell ref="P46:Q46"/>
    <mergeCell ref="A47:B47"/>
    <mergeCell ref="P47:Q47"/>
    <mergeCell ref="A48:B48"/>
    <mergeCell ref="P48:Q48"/>
  </mergeCells>
  <conditionalFormatting sqref="F12:O12 D13:O42">
    <cfRule type="cellIs" dxfId="11" priority="13" operator="equal">
      <formula>""</formula>
    </cfRule>
    <cfRule type="cellIs" dxfId="10" priority="14" operator="equal">
      <formula>"н/а"</formula>
    </cfRule>
    <cfRule type="cellIs" dxfId="9" priority="15" operator="equal">
      <formula>2</formula>
    </cfRule>
  </conditionalFormatting>
  <conditionalFormatting sqref="D12">
    <cfRule type="cellIs" dxfId="8" priority="10" operator="equal">
      <formula>""</formula>
    </cfRule>
    <cfRule type="cellIs" dxfId="7" priority="11" operator="equal">
      <formula>"н/а"</formula>
    </cfRule>
    <cfRule type="cellIs" dxfId="6" priority="12" operator="equal">
      <formula>2</formula>
    </cfRule>
  </conditionalFormatting>
  <conditionalFormatting sqref="E12">
    <cfRule type="cellIs" dxfId="5" priority="4" operator="equal">
      <formula>""</formula>
    </cfRule>
    <cfRule type="cellIs" dxfId="4" priority="5" operator="equal">
      <formula>"н/а"</formula>
    </cfRule>
    <cfRule type="cellIs" dxfId="3" priority="6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8" tint="0.39997558519241921"/>
    <pageSetUpPr fitToPage="1"/>
  </sheetPr>
  <dimension ref="A1:BQ50"/>
  <sheetViews>
    <sheetView showGridLines="0" zoomScale="77" zoomScaleNormal="77" workbookViewId="0">
      <selection activeCell="BE34" sqref="BE34"/>
    </sheetView>
  </sheetViews>
  <sheetFormatPr defaultRowHeight="13.2"/>
  <cols>
    <col min="1" max="1" width="7.44140625" style="28" customWidth="1"/>
    <col min="2" max="4" width="5.6640625" style="28" customWidth="1"/>
    <col min="5" max="5" width="9" style="28" customWidth="1"/>
    <col min="6" max="7" width="3.6640625" style="28" customWidth="1"/>
    <col min="8" max="8" width="3.5546875" style="28" customWidth="1"/>
    <col min="9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>
      <c r="A1" s="179" t="s">
        <v>14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80"/>
    </row>
    <row r="2" spans="1:69" ht="15.6">
      <c r="A2" s="180" t="s">
        <v>9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29"/>
    </row>
    <row r="3" spans="1:69" ht="15.6">
      <c r="A3" s="180" t="s">
        <v>10</v>
      </c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81"/>
    </row>
    <row r="4" spans="1:69" ht="15.6">
      <c r="A4" s="181" t="s">
        <v>11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82"/>
    </row>
    <row r="5" spans="1:69" ht="15.6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</row>
    <row r="6" spans="1:69" ht="17.399999999999999">
      <c r="A6" s="182" t="s">
        <v>43</v>
      </c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3" t="str">
        <f>Успеваемость!G7</f>
        <v>март</v>
      </c>
      <c r="AF6" s="183"/>
      <c r="AG6" s="183"/>
      <c r="AH6" s="183"/>
      <c r="AI6" s="34" t="str">
        <f>Успеваемость!I7</f>
        <v>2022-2023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3"/>
    </row>
    <row r="7" spans="1:69" ht="24.9" customHeight="1">
      <c r="A7" s="77"/>
      <c r="B7" s="30"/>
      <c r="C7" s="31"/>
      <c r="D7" s="31"/>
      <c r="E7" s="31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</row>
    <row r="8" spans="1:69" ht="24.9" customHeight="1">
      <c r="A8" s="194" t="str">
        <f>Успеваемость!A9</f>
        <v>Группа ИСПк-104/107-52-00</v>
      </c>
      <c r="B8" s="194"/>
      <c r="C8" s="194"/>
      <c r="D8" s="194"/>
      <c r="E8" s="194"/>
      <c r="F8" s="194"/>
      <c r="G8" s="194"/>
      <c r="H8" s="77"/>
      <c r="I8" s="77"/>
      <c r="J8" s="77"/>
      <c r="K8" s="77"/>
      <c r="L8" s="77"/>
      <c r="M8" s="77"/>
      <c r="N8" s="77"/>
      <c r="O8" s="77"/>
      <c r="P8" s="77"/>
      <c r="Q8" s="77"/>
      <c r="R8" s="176" t="s">
        <v>32</v>
      </c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90"/>
      <c r="BI8" s="190"/>
      <c r="BJ8" s="77"/>
    </row>
    <row r="9" spans="1:69" ht="24.9" customHeight="1">
      <c r="A9" s="77"/>
      <c r="B9" s="30"/>
      <c r="C9" s="32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76" t="s">
        <v>33</v>
      </c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</row>
    <row r="10" spans="1:69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</row>
    <row r="11" spans="1:69" ht="13.8" thickBot="1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</row>
    <row r="12" spans="1:69" ht="18.75" customHeight="1">
      <c r="A12" s="195" t="s">
        <v>3</v>
      </c>
      <c r="B12" s="197" t="s">
        <v>2</v>
      </c>
      <c r="C12" s="198"/>
      <c r="D12" s="198"/>
      <c r="E12" s="199"/>
      <c r="F12" s="203" t="s">
        <v>34</v>
      </c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5"/>
      <c r="BF12" s="184" t="s">
        <v>35</v>
      </c>
      <c r="BG12" s="206" t="s">
        <v>36</v>
      </c>
      <c r="BH12" s="207"/>
      <c r="BI12" s="191" t="s">
        <v>37</v>
      </c>
      <c r="BJ12" s="99"/>
      <c r="BK12" s="100"/>
      <c r="BL12" s="100"/>
      <c r="BM12" s="100"/>
      <c r="BN12" s="100"/>
      <c r="BO12" s="100"/>
      <c r="BP12" s="100"/>
      <c r="BQ12" s="100"/>
    </row>
    <row r="13" spans="1:69" ht="19.5" customHeight="1" thickBot="1">
      <c r="A13" s="196"/>
      <c r="B13" s="200"/>
      <c r="C13" s="201"/>
      <c r="D13" s="201"/>
      <c r="E13" s="202"/>
      <c r="F13" s="210">
        <v>1</v>
      </c>
      <c r="G13" s="178"/>
      <c r="H13" s="177">
        <v>2</v>
      </c>
      <c r="I13" s="178"/>
      <c r="J13" s="177">
        <v>3</v>
      </c>
      <c r="K13" s="178"/>
      <c r="L13" s="177">
        <v>4</v>
      </c>
      <c r="M13" s="178"/>
      <c r="N13" s="177">
        <v>6</v>
      </c>
      <c r="O13" s="178"/>
      <c r="P13" s="177">
        <v>7</v>
      </c>
      <c r="Q13" s="178"/>
      <c r="R13" s="177">
        <v>9</v>
      </c>
      <c r="S13" s="178"/>
      <c r="T13" s="177">
        <v>10</v>
      </c>
      <c r="U13" s="178"/>
      <c r="V13" s="177">
        <v>11</v>
      </c>
      <c r="W13" s="178"/>
      <c r="X13" s="177">
        <v>13</v>
      </c>
      <c r="Y13" s="178"/>
      <c r="Z13" s="177">
        <v>14</v>
      </c>
      <c r="AA13" s="178"/>
      <c r="AB13" s="177">
        <v>15</v>
      </c>
      <c r="AC13" s="178"/>
      <c r="AD13" s="177">
        <v>16</v>
      </c>
      <c r="AE13" s="178"/>
      <c r="AF13" s="177">
        <v>17</v>
      </c>
      <c r="AG13" s="178"/>
      <c r="AH13" s="177">
        <v>18</v>
      </c>
      <c r="AI13" s="178"/>
      <c r="AJ13" s="177">
        <v>20</v>
      </c>
      <c r="AK13" s="178"/>
      <c r="AL13" s="177">
        <v>21</v>
      </c>
      <c r="AM13" s="178"/>
      <c r="AN13" s="177">
        <v>22</v>
      </c>
      <c r="AO13" s="178"/>
      <c r="AP13" s="177">
        <v>23</v>
      </c>
      <c r="AQ13" s="178"/>
      <c r="AR13" s="177">
        <v>24</v>
      </c>
      <c r="AS13" s="178"/>
      <c r="AT13" s="177">
        <v>25</v>
      </c>
      <c r="AU13" s="178"/>
      <c r="AV13" s="177">
        <v>27</v>
      </c>
      <c r="AW13" s="178"/>
      <c r="AX13" s="187">
        <v>28</v>
      </c>
      <c r="AY13" s="188"/>
      <c r="AZ13" s="177">
        <v>29</v>
      </c>
      <c r="BA13" s="178"/>
      <c r="BB13" s="177">
        <v>30</v>
      </c>
      <c r="BC13" s="189"/>
      <c r="BD13" s="177">
        <v>31</v>
      </c>
      <c r="BE13" s="189"/>
      <c r="BF13" s="185"/>
      <c r="BG13" s="208"/>
      <c r="BH13" s="209"/>
      <c r="BI13" s="192"/>
      <c r="BJ13" s="99"/>
      <c r="BK13" s="100"/>
      <c r="BL13" s="100"/>
      <c r="BM13" s="100"/>
      <c r="BN13" s="100"/>
      <c r="BO13" s="100"/>
      <c r="BP13" s="100"/>
      <c r="BQ13" s="100"/>
    </row>
    <row r="14" spans="1:69" ht="36" customHeight="1" thickBot="1">
      <c r="A14" s="196"/>
      <c r="B14" s="200"/>
      <c r="C14" s="201"/>
      <c r="D14" s="201"/>
      <c r="E14" s="202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186"/>
      <c r="BG14" s="75" t="s">
        <v>38</v>
      </c>
      <c r="BH14" s="76" t="s">
        <v>39</v>
      </c>
      <c r="BI14" s="193"/>
      <c r="BJ14" s="101"/>
      <c r="BK14" s="100"/>
      <c r="BL14" s="100"/>
      <c r="BM14" s="100"/>
      <c r="BN14" s="100"/>
      <c r="BO14" s="100"/>
      <c r="BP14" s="100"/>
      <c r="BQ14" s="100"/>
    </row>
    <row r="15" spans="1:69" ht="20.100000000000001" customHeight="1" thickBot="1">
      <c r="A15" s="102">
        <f>Успеваемость!A12</f>
        <v>1</v>
      </c>
      <c r="B15" s="164" t="str">
        <f>IF(ISBLANK(Успеваемость!B12), "", Успеваемость!B12)</f>
        <v>Алембаев Артём Сергеевич</v>
      </c>
      <c r="C15" s="165"/>
      <c r="D15" s="165"/>
      <c r="E15" s="166"/>
      <c r="F15" s="6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60"/>
      <c r="BF15" s="62">
        <f t="shared" ref="BF15" si="0">IF(B15="", "", SUM(F15:BE15))</f>
        <v>0</v>
      </c>
      <c r="BG15" s="39">
        <f>IF(B15="", "", SUMIF($F$14:$BE$14,"Б",F15:BE15))</f>
        <v>0</v>
      </c>
      <c r="BH15" s="40">
        <f t="shared" ref="BH15" si="1">IF(B15="", "", SUMIF($F$14:$BE$14,"У",F15:BE15))</f>
        <v>0</v>
      </c>
      <c r="BI15" s="41"/>
      <c r="BJ15" s="101"/>
      <c r="BK15" s="100"/>
      <c r="BL15" s="100"/>
      <c r="BM15" s="100"/>
      <c r="BN15" s="100"/>
      <c r="BO15" s="100"/>
      <c r="BP15" s="100"/>
      <c r="BQ15" s="100"/>
    </row>
    <row r="16" spans="1:69" ht="20.100000000000001" customHeight="1" thickBot="1">
      <c r="A16" s="103">
        <f>Успеваемость!A13</f>
        <v>2</v>
      </c>
      <c r="B16" s="164" t="str">
        <f>IF(ISBLANK(Успеваемость!B13), "", Успеваемость!B13)</f>
        <v>Алиев Тимур Русланович</v>
      </c>
      <c r="C16" s="165"/>
      <c r="D16" s="165"/>
      <c r="E16" s="166"/>
      <c r="F16" s="71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>
        <v>8</v>
      </c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>
        <v>6</v>
      </c>
      <c r="AP16" s="72"/>
      <c r="AQ16" s="72">
        <v>8</v>
      </c>
      <c r="AR16" s="72"/>
      <c r="AS16" s="72">
        <v>8</v>
      </c>
      <c r="AT16" s="72"/>
      <c r="AU16" s="72">
        <v>6</v>
      </c>
      <c r="AV16" s="72"/>
      <c r="AW16" s="72"/>
      <c r="AX16" s="72"/>
      <c r="AY16" s="72"/>
      <c r="AZ16" s="72"/>
      <c r="BA16" s="72"/>
      <c r="BB16" s="72"/>
      <c r="BC16" s="72"/>
      <c r="BD16" s="72"/>
      <c r="BE16" s="73"/>
      <c r="BF16" s="62">
        <f t="shared" ref="BF16:BF41" si="2">IF(B16="", "", SUM(F16:BE16))</f>
        <v>36</v>
      </c>
      <c r="BG16" s="39">
        <f t="shared" ref="BG16:BG41" si="3">IF(B16="", "", SUMIF($F$14:$BE$14,"Б",F16:BE16))</f>
        <v>0</v>
      </c>
      <c r="BH16" s="40">
        <f t="shared" ref="BH16:BH41" si="4">IF(B16="", "", SUMIF($F$14:$BE$14,"У",F16:BE16))</f>
        <v>36</v>
      </c>
      <c r="BI16" s="74"/>
      <c r="BJ16" s="101"/>
      <c r="BK16" s="100"/>
      <c r="BL16" s="100"/>
      <c r="BM16" s="100"/>
      <c r="BN16" s="100"/>
      <c r="BO16" s="100"/>
      <c r="BP16" s="100"/>
      <c r="BQ16" s="100"/>
    </row>
    <row r="17" spans="1:69" ht="20.100000000000001" customHeight="1" thickBot="1">
      <c r="A17" s="103">
        <f>Успеваемость!A14</f>
        <v>3</v>
      </c>
      <c r="B17" s="164" t="str">
        <f>IF(ISBLANK(Успеваемость!B14), "", Успеваемость!B14)</f>
        <v>Бессонова Анастасия Александровна</v>
      </c>
      <c r="C17" s="165"/>
      <c r="D17" s="165"/>
      <c r="E17" s="166"/>
      <c r="F17" s="71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>
        <v>2</v>
      </c>
      <c r="AX17" s="72"/>
      <c r="AY17" s="72"/>
      <c r="AZ17" s="72"/>
      <c r="BA17" s="72"/>
      <c r="BB17" s="72"/>
      <c r="BC17" s="72"/>
      <c r="BD17" s="72"/>
      <c r="BE17" s="73"/>
      <c r="BF17" s="62">
        <f t="shared" si="2"/>
        <v>2</v>
      </c>
      <c r="BG17" s="39">
        <f t="shared" si="3"/>
        <v>0</v>
      </c>
      <c r="BH17" s="40">
        <f t="shared" si="4"/>
        <v>2</v>
      </c>
      <c r="BI17" s="74"/>
      <c r="BJ17" s="101"/>
      <c r="BK17" s="100"/>
      <c r="BL17" s="100"/>
      <c r="BM17" s="100"/>
      <c r="BN17" s="100"/>
      <c r="BO17" s="100"/>
      <c r="BP17" s="100"/>
      <c r="BQ17" s="100"/>
    </row>
    <row r="18" spans="1:69" ht="20.100000000000001" customHeight="1" thickBot="1">
      <c r="A18" s="103">
        <f>Успеваемость!A15</f>
        <v>4</v>
      </c>
      <c r="B18" s="164" t="str">
        <f>IF(ISBLANK(Успеваемость!B15), "", Успеваемость!B15)</f>
        <v>Бузмакова Анастасия Романовна</v>
      </c>
      <c r="C18" s="165"/>
      <c r="D18" s="165"/>
      <c r="E18" s="166"/>
      <c r="F18" s="64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>
        <v>4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>
        <v>2</v>
      </c>
      <c r="AP18" s="53"/>
      <c r="AQ18" s="53">
        <v>4</v>
      </c>
      <c r="AR18" s="53"/>
      <c r="AS18" s="53"/>
      <c r="AT18" s="53"/>
      <c r="AU18" s="53"/>
      <c r="AV18" s="53"/>
      <c r="AW18" s="53"/>
      <c r="AX18" s="53"/>
      <c r="AY18" s="53">
        <v>2</v>
      </c>
      <c r="AZ18" s="53"/>
      <c r="BA18" s="53"/>
      <c r="BB18" s="53"/>
      <c r="BC18" s="53"/>
      <c r="BD18" s="53"/>
      <c r="BE18" s="61">
        <v>6</v>
      </c>
      <c r="BF18" s="62">
        <f t="shared" si="2"/>
        <v>18</v>
      </c>
      <c r="BG18" s="39">
        <f t="shared" si="3"/>
        <v>0</v>
      </c>
      <c r="BH18" s="40">
        <f t="shared" si="4"/>
        <v>18</v>
      </c>
      <c r="BI18" s="42"/>
      <c r="BJ18" s="101"/>
      <c r="BK18" s="100"/>
      <c r="BL18" s="100"/>
      <c r="BM18" s="100"/>
      <c r="BN18" s="100"/>
      <c r="BO18" s="100"/>
      <c r="BP18" s="100"/>
      <c r="BQ18" s="100"/>
    </row>
    <row r="19" spans="1:69" ht="20.100000000000001" customHeight="1" thickBot="1">
      <c r="A19" s="103">
        <f>Успеваемость!A16</f>
        <v>5</v>
      </c>
      <c r="B19" s="164" t="str">
        <f>IF(ISBLANK(Успеваемость!B16), "", Успеваемость!B16)</f>
        <v>Вейс Роман Михайлович</v>
      </c>
      <c r="C19" s="165"/>
      <c r="D19" s="165"/>
      <c r="E19" s="166"/>
      <c r="F19" s="64"/>
      <c r="G19" s="53">
        <v>4</v>
      </c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>
        <v>8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12</v>
      </c>
      <c r="BG19" s="39">
        <f t="shared" si="3"/>
        <v>0</v>
      </c>
      <c r="BH19" s="40">
        <f t="shared" si="4"/>
        <v>12</v>
      </c>
      <c r="BI19" s="42"/>
      <c r="BJ19" s="101"/>
      <c r="BK19" s="100"/>
      <c r="BL19" s="100"/>
      <c r="BM19" s="100"/>
      <c r="BN19" s="100"/>
      <c r="BO19" s="100"/>
      <c r="BP19" s="100"/>
      <c r="BQ19" s="100"/>
    </row>
    <row r="20" spans="1:69" ht="20.100000000000001" customHeight="1" thickBot="1">
      <c r="A20" s="103">
        <f>Успеваемость!A17</f>
        <v>6</v>
      </c>
      <c r="B20" s="164" t="str">
        <f>IF(ISBLANK(Успеваемость!B17), "", Успеваемость!B17)</f>
        <v>Зотова Анастасия Викторовна</v>
      </c>
      <c r="C20" s="165"/>
      <c r="D20" s="165"/>
      <c r="E20" s="166"/>
      <c r="F20" s="64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>
        <v>4</v>
      </c>
      <c r="AZ20" s="53"/>
      <c r="BA20" s="53"/>
      <c r="BB20" s="53"/>
      <c r="BC20" s="53"/>
      <c r="BD20" s="53"/>
      <c r="BE20" s="61"/>
      <c r="BF20" s="62">
        <f t="shared" si="2"/>
        <v>4</v>
      </c>
      <c r="BG20" s="39">
        <f t="shared" si="3"/>
        <v>0</v>
      </c>
      <c r="BH20" s="40">
        <f t="shared" si="4"/>
        <v>4</v>
      </c>
      <c r="BI20" s="42"/>
      <c r="BJ20" s="101"/>
      <c r="BK20" s="100"/>
      <c r="BL20" s="100"/>
      <c r="BM20" s="100"/>
      <c r="BN20" s="100"/>
      <c r="BO20" s="100"/>
      <c r="BP20" s="100"/>
      <c r="BQ20" s="100"/>
    </row>
    <row r="21" spans="1:69" ht="20.100000000000001" customHeight="1" thickBot="1">
      <c r="A21" s="103">
        <f>Успеваемость!A18</f>
        <v>7</v>
      </c>
      <c r="B21" s="164" t="str">
        <f>IF(ISBLANK(Успеваемость!B18), "", Успеваемость!B18)</f>
        <v>Зырянов Константин Сергеевич</v>
      </c>
      <c r="C21" s="165"/>
      <c r="D21" s="165"/>
      <c r="E21" s="166"/>
      <c r="F21" s="6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>
        <v>8</v>
      </c>
      <c r="T21" s="53"/>
      <c r="U21" s="53"/>
      <c r="V21" s="53"/>
      <c r="W21" s="53"/>
      <c r="X21" s="53"/>
      <c r="Y21" s="53"/>
      <c r="Z21" s="53"/>
      <c r="AA21" s="53">
        <v>8</v>
      </c>
      <c r="AB21" s="53"/>
      <c r="AC21" s="53"/>
      <c r="AD21" s="53"/>
      <c r="AE21" s="53">
        <v>8</v>
      </c>
      <c r="AF21" s="53"/>
      <c r="AG21" s="53">
        <v>6</v>
      </c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61"/>
      <c r="BF21" s="62">
        <f t="shared" si="2"/>
        <v>30</v>
      </c>
      <c r="BG21" s="39">
        <f t="shared" si="3"/>
        <v>0</v>
      </c>
      <c r="BH21" s="40">
        <f t="shared" si="4"/>
        <v>30</v>
      </c>
      <c r="BI21" s="42"/>
      <c r="BJ21" s="101"/>
      <c r="BK21" s="100"/>
      <c r="BL21" s="100"/>
      <c r="BM21" s="100"/>
      <c r="BN21" s="100"/>
      <c r="BO21" s="100"/>
      <c r="BP21" s="100"/>
      <c r="BQ21" s="100"/>
    </row>
    <row r="22" spans="1:69" ht="20.100000000000001" customHeight="1" thickBot="1">
      <c r="A22" s="103">
        <f>Успеваемость!A19</f>
        <v>8</v>
      </c>
      <c r="B22" s="164" t="str">
        <f>IF(ISBLANK(Успеваемость!B19), "", Успеваемость!B19)</f>
        <v>Исупов Максим Олегович</v>
      </c>
      <c r="C22" s="165"/>
      <c r="D22" s="165"/>
      <c r="E22" s="166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1"/>
      <c r="BK22" s="100"/>
      <c r="BL22" s="100"/>
      <c r="BM22" s="100"/>
      <c r="BN22" s="100"/>
      <c r="BO22" s="100"/>
      <c r="BP22" s="100"/>
      <c r="BQ22" s="100"/>
    </row>
    <row r="23" spans="1:69" ht="20.100000000000001" customHeight="1" thickBot="1">
      <c r="A23" s="103">
        <f>Успеваемость!A20</f>
        <v>9</v>
      </c>
      <c r="B23" s="164" t="str">
        <f>IF(ISBLANK(Успеваемость!B20), "", Успеваемость!B20)</f>
        <v>Колобов Александр Алексеевич</v>
      </c>
      <c r="C23" s="165"/>
      <c r="D23" s="165"/>
      <c r="E23" s="166"/>
      <c r="F23" s="64"/>
      <c r="G23" s="53"/>
      <c r="H23" s="53"/>
      <c r="I23" s="53"/>
      <c r="J23" s="53"/>
      <c r="K23" s="53"/>
      <c r="L23" s="53"/>
      <c r="M23" s="53"/>
      <c r="N23" s="53"/>
      <c r="O23" s="53">
        <v>2</v>
      </c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2</v>
      </c>
      <c r="BG23" s="39">
        <f t="shared" si="3"/>
        <v>0</v>
      </c>
      <c r="BH23" s="40">
        <f t="shared" si="4"/>
        <v>2</v>
      </c>
      <c r="BI23" s="42"/>
      <c r="BJ23" s="101"/>
      <c r="BK23" s="100"/>
      <c r="BL23" s="100"/>
      <c r="BM23" s="100"/>
      <c r="BN23" s="100"/>
      <c r="BO23" s="100"/>
      <c r="BP23" s="100"/>
      <c r="BQ23" s="100"/>
    </row>
    <row r="24" spans="1:69" ht="20.100000000000001" customHeight="1" thickBot="1">
      <c r="A24" s="103">
        <f>Успеваемость!A21</f>
        <v>10</v>
      </c>
      <c r="B24" s="164" t="str">
        <f>IF(ISBLANK(Успеваемость!B21), "", Успеваемость!B21)</f>
        <v>Кононов Степан Андреевич</v>
      </c>
      <c r="C24" s="165"/>
      <c r="D24" s="165"/>
      <c r="E24" s="166"/>
      <c r="F24" s="64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>
        <v>8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>
        <v>6</v>
      </c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61"/>
      <c r="BF24" s="62">
        <f t="shared" si="2"/>
        <v>14</v>
      </c>
      <c r="BG24" s="39">
        <f t="shared" si="3"/>
        <v>0</v>
      </c>
      <c r="BH24" s="40">
        <f t="shared" si="4"/>
        <v>14</v>
      </c>
      <c r="BI24" s="42"/>
      <c r="BJ24" s="101"/>
      <c r="BK24" s="100"/>
      <c r="BL24" s="100"/>
      <c r="BM24" s="100"/>
      <c r="BN24" s="100"/>
      <c r="BO24" s="100"/>
      <c r="BP24" s="100"/>
      <c r="BQ24" s="100"/>
    </row>
    <row r="25" spans="1:69" ht="20.100000000000001" customHeight="1" thickBot="1">
      <c r="A25" s="103">
        <f>Успеваемость!A22</f>
        <v>11</v>
      </c>
      <c r="B25" s="164" t="str">
        <f>IF(ISBLANK(Успеваемость!B22), "", Успеваемость!B22)</f>
        <v>Корзунин Евгений Сергеевич</v>
      </c>
      <c r="C25" s="165"/>
      <c r="D25" s="165"/>
      <c r="E25" s="166"/>
      <c r="F25" s="64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>
        <v>4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61"/>
      <c r="BF25" s="62">
        <f t="shared" si="2"/>
        <v>4</v>
      </c>
      <c r="BG25" s="39">
        <f t="shared" si="3"/>
        <v>0</v>
      </c>
      <c r="BH25" s="40">
        <f t="shared" si="4"/>
        <v>4</v>
      </c>
      <c r="BI25" s="42"/>
      <c r="BJ25" s="101"/>
      <c r="BK25" s="100"/>
      <c r="BL25" s="100"/>
      <c r="BM25" s="100"/>
      <c r="BN25" s="100"/>
      <c r="BO25" s="100"/>
      <c r="BP25" s="100"/>
      <c r="BQ25" s="100"/>
    </row>
    <row r="26" spans="1:69" ht="20.100000000000001" customHeight="1" thickBot="1">
      <c r="A26" s="103">
        <f>Успеваемость!A23</f>
        <v>12</v>
      </c>
      <c r="B26" s="164" t="str">
        <f>IF(ISBLANK(Успеваемость!B23), "", Успеваемость!B23)</f>
        <v>Кривошеин Дмитрий Васильевич</v>
      </c>
      <c r="C26" s="165"/>
      <c r="D26" s="165"/>
      <c r="E26" s="166"/>
      <c r="F26" s="64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>
        <v>8</v>
      </c>
      <c r="T26" s="53"/>
      <c r="U26" s="53">
        <v>6</v>
      </c>
      <c r="V26" s="53"/>
      <c r="W26" s="53">
        <v>4</v>
      </c>
      <c r="X26" s="53"/>
      <c r="Y26" s="53">
        <v>8</v>
      </c>
      <c r="Z26" s="53"/>
      <c r="AA26" s="53">
        <v>8</v>
      </c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>
        <v>6</v>
      </c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40</v>
      </c>
      <c r="BG26" s="39">
        <f t="shared" si="3"/>
        <v>0</v>
      </c>
      <c r="BH26" s="40">
        <f t="shared" si="4"/>
        <v>40</v>
      </c>
      <c r="BI26" s="42"/>
      <c r="BJ26" s="101"/>
      <c r="BK26" s="100"/>
      <c r="BL26" s="100"/>
      <c r="BM26" s="100"/>
      <c r="BN26" s="100"/>
      <c r="BO26" s="100"/>
      <c r="BP26" s="100"/>
      <c r="BQ26" s="100"/>
    </row>
    <row r="27" spans="1:69" ht="20.100000000000001" customHeight="1" thickBot="1">
      <c r="A27" s="103">
        <f>Успеваемость!A24</f>
        <v>13</v>
      </c>
      <c r="B27" s="164" t="str">
        <f>IF(ISBLANK(Успеваемость!B24), "", Успеваемость!B24)</f>
        <v>Куковеров Никита Анатольевич</v>
      </c>
      <c r="C27" s="165"/>
      <c r="D27" s="165"/>
      <c r="E27" s="166"/>
      <c r="F27" s="64"/>
      <c r="G27" s="53"/>
      <c r="H27" s="53"/>
      <c r="I27" s="53">
        <v>8</v>
      </c>
      <c r="J27" s="53">
        <v>2</v>
      </c>
      <c r="K27" s="53"/>
      <c r="L27" s="53">
        <v>6</v>
      </c>
      <c r="M27" s="53"/>
      <c r="N27" s="53"/>
      <c r="O27" s="53"/>
      <c r="P27" s="53">
        <v>2</v>
      </c>
      <c r="Q27" s="53"/>
      <c r="R27" s="53"/>
      <c r="S27" s="53"/>
      <c r="T27" s="53"/>
      <c r="U27" s="53"/>
      <c r="V27" s="53"/>
      <c r="W27" s="53"/>
      <c r="X27" s="53">
        <v>2</v>
      </c>
      <c r="Y27" s="53"/>
      <c r="Z27" s="53"/>
      <c r="AA27" s="53"/>
      <c r="AB27" s="53"/>
      <c r="AC27" s="53"/>
      <c r="AD27" s="53"/>
      <c r="AE27" s="53"/>
      <c r="AF27" s="53">
        <v>2</v>
      </c>
      <c r="AG27" s="53"/>
      <c r="AH27" s="53"/>
      <c r="AI27" s="53"/>
      <c r="AJ27" s="53"/>
      <c r="AK27" s="53"/>
      <c r="AL27" s="53"/>
      <c r="AM27" s="53"/>
      <c r="AN27" s="53">
        <v>2</v>
      </c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61"/>
      <c r="BF27" s="62">
        <f t="shared" si="2"/>
        <v>24</v>
      </c>
      <c r="BG27" s="39">
        <f t="shared" si="3"/>
        <v>16</v>
      </c>
      <c r="BH27" s="40">
        <f t="shared" si="4"/>
        <v>8</v>
      </c>
      <c r="BI27" s="42"/>
      <c r="BJ27" s="101"/>
      <c r="BK27" s="100"/>
      <c r="BL27" s="100"/>
      <c r="BM27" s="100"/>
      <c r="BN27" s="100"/>
      <c r="BO27" s="100"/>
      <c r="BP27" s="100"/>
      <c r="BQ27" s="100"/>
    </row>
    <row r="28" spans="1:69" ht="20.100000000000001" customHeight="1" thickBot="1">
      <c r="A28" s="103">
        <f>Успеваемость!A25</f>
        <v>14</v>
      </c>
      <c r="B28" s="164" t="str">
        <f>IF(ISBLANK(Успеваемость!B25), "", Успеваемость!B25)</f>
        <v>Лаптев Дмитрий Андреевич</v>
      </c>
      <c r="C28" s="165"/>
      <c r="D28" s="165"/>
      <c r="E28" s="166"/>
      <c r="F28" s="64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61"/>
      <c r="BF28" s="62">
        <f t="shared" si="2"/>
        <v>0</v>
      </c>
      <c r="BG28" s="39">
        <f t="shared" si="3"/>
        <v>0</v>
      </c>
      <c r="BH28" s="40">
        <f t="shared" si="4"/>
        <v>0</v>
      </c>
      <c r="BI28" s="42"/>
      <c r="BJ28" s="101"/>
      <c r="BK28" s="100"/>
      <c r="BL28" s="100"/>
      <c r="BM28" s="100"/>
      <c r="BN28" s="100"/>
      <c r="BO28" s="100"/>
      <c r="BP28" s="100"/>
      <c r="BQ28" s="100"/>
    </row>
    <row r="29" spans="1:69" ht="20.100000000000001" customHeight="1" thickBot="1">
      <c r="A29" s="103">
        <f>Успеваемость!A26</f>
        <v>15</v>
      </c>
      <c r="B29" s="164" t="str">
        <f>IF(ISBLANK(Успеваемость!B26), "", Успеваемость!B26)</f>
        <v>Никулин Арсений Игоревич</v>
      </c>
      <c r="C29" s="165"/>
      <c r="D29" s="165"/>
      <c r="E29" s="166"/>
      <c r="F29" s="71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>
        <v>6</v>
      </c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>
        <v>4</v>
      </c>
      <c r="AJ29" s="72"/>
      <c r="AK29" s="72"/>
      <c r="AL29" s="72"/>
      <c r="AM29" s="72"/>
      <c r="AN29" s="72"/>
      <c r="AO29" s="72">
        <v>6</v>
      </c>
      <c r="AP29" s="72"/>
      <c r="AQ29" s="72">
        <v>8</v>
      </c>
      <c r="AR29" s="72"/>
      <c r="AS29" s="72">
        <v>2</v>
      </c>
      <c r="AT29" s="72"/>
      <c r="AU29" s="72">
        <v>6</v>
      </c>
      <c r="AV29" s="72"/>
      <c r="AW29" s="72">
        <v>6</v>
      </c>
      <c r="AX29" s="72"/>
      <c r="AY29" s="72"/>
      <c r="AZ29" s="72"/>
      <c r="BA29" s="72"/>
      <c r="BB29" s="72"/>
      <c r="BC29" s="72">
        <v>8</v>
      </c>
      <c r="BD29" s="72"/>
      <c r="BE29" s="73">
        <v>6</v>
      </c>
      <c r="BF29" s="62">
        <f t="shared" si="2"/>
        <v>52</v>
      </c>
      <c r="BG29" s="39">
        <f t="shared" si="3"/>
        <v>0</v>
      </c>
      <c r="BH29" s="40">
        <f t="shared" si="4"/>
        <v>52</v>
      </c>
      <c r="BI29" s="42"/>
      <c r="BJ29" s="101"/>
      <c r="BK29" s="100"/>
      <c r="BL29" s="100"/>
      <c r="BM29" s="100"/>
      <c r="BN29" s="100"/>
      <c r="BO29" s="100"/>
      <c r="BP29" s="100"/>
      <c r="BQ29" s="100"/>
    </row>
    <row r="30" spans="1:69" ht="20.100000000000001" customHeight="1" thickBot="1">
      <c r="A30" s="103">
        <f>Успеваемость!A27</f>
        <v>16</v>
      </c>
      <c r="B30" s="164" t="str">
        <f>IF(ISBLANK(Успеваемость!B27), "", Успеваемость!B27)</f>
        <v>Огородников Никита Михайлович</v>
      </c>
      <c r="C30" s="165"/>
      <c r="D30" s="165"/>
      <c r="E30" s="166"/>
      <c r="F30" s="71"/>
      <c r="G30" s="72"/>
      <c r="H30" s="72">
        <v>2</v>
      </c>
      <c r="I30" s="72"/>
      <c r="J30" s="72">
        <v>2</v>
      </c>
      <c r="K30" s="72"/>
      <c r="L30" s="72">
        <v>6</v>
      </c>
      <c r="M30" s="72"/>
      <c r="N30" s="72"/>
      <c r="O30" s="72"/>
      <c r="P30" s="72">
        <v>2</v>
      </c>
      <c r="Q30" s="72"/>
      <c r="R30" s="72"/>
      <c r="S30" s="72"/>
      <c r="T30" s="72"/>
      <c r="U30" s="72">
        <v>8</v>
      </c>
      <c r="V30" s="72"/>
      <c r="W30" s="72"/>
      <c r="X30" s="72">
        <v>2</v>
      </c>
      <c r="Y30" s="72"/>
      <c r="Z30" s="53"/>
      <c r="AA30" s="72">
        <v>8</v>
      </c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>
        <v>8</v>
      </c>
      <c r="AN30" s="72"/>
      <c r="AO30" s="72">
        <v>6</v>
      </c>
      <c r="AP30" s="72"/>
      <c r="AQ30" s="72">
        <v>8</v>
      </c>
      <c r="AR30" s="72"/>
      <c r="AS30" s="72">
        <v>6</v>
      </c>
      <c r="AT30" s="72"/>
      <c r="AU30" s="72">
        <v>6</v>
      </c>
      <c r="AV30" s="72"/>
      <c r="AW30" s="72">
        <v>6</v>
      </c>
      <c r="AX30" s="72"/>
      <c r="AY30" s="72">
        <v>8</v>
      </c>
      <c r="AZ30" s="72"/>
      <c r="BA30" s="72">
        <v>4</v>
      </c>
      <c r="BB30" s="72"/>
      <c r="BC30" s="72">
        <v>8</v>
      </c>
      <c r="BD30" s="72"/>
      <c r="BE30" s="73">
        <v>6</v>
      </c>
      <c r="BF30" s="62">
        <f t="shared" si="2"/>
        <v>96</v>
      </c>
      <c r="BG30" s="39">
        <f t="shared" si="3"/>
        <v>14</v>
      </c>
      <c r="BH30" s="40">
        <f t="shared" si="4"/>
        <v>82</v>
      </c>
      <c r="BI30" s="42"/>
      <c r="BJ30" s="101"/>
      <c r="BK30" s="100"/>
      <c r="BL30" s="100"/>
      <c r="BM30" s="100"/>
      <c r="BN30" s="100"/>
      <c r="BO30" s="100"/>
      <c r="BP30" s="100"/>
      <c r="BQ30" s="100"/>
    </row>
    <row r="31" spans="1:69" ht="20.100000000000001" customHeight="1" thickBot="1">
      <c r="A31" s="103">
        <f>Успеваемость!A28</f>
        <v>17</v>
      </c>
      <c r="B31" s="164" t="str">
        <f>IF(ISBLANK(Успеваемость!B28), "", Успеваемость!B28)</f>
        <v>Панкратов Никита Владимирович</v>
      </c>
      <c r="C31" s="165"/>
      <c r="D31" s="165"/>
      <c r="E31" s="166"/>
      <c r="F31" s="71"/>
      <c r="G31" s="72">
        <v>4</v>
      </c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53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>
        <v>4</v>
      </c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3"/>
      <c r="BF31" s="62">
        <f t="shared" si="2"/>
        <v>8</v>
      </c>
      <c r="BG31" s="39">
        <f t="shared" si="3"/>
        <v>4</v>
      </c>
      <c r="BH31" s="40">
        <f t="shared" si="4"/>
        <v>4</v>
      </c>
      <c r="BI31" s="42"/>
      <c r="BJ31" s="101"/>
      <c r="BK31" s="100"/>
      <c r="BL31" s="100"/>
      <c r="BM31" s="100"/>
      <c r="BN31" s="100"/>
      <c r="BO31" s="100"/>
      <c r="BP31" s="100"/>
      <c r="BQ31" s="100"/>
    </row>
    <row r="32" spans="1:69" ht="20.100000000000001" customHeight="1" thickBot="1">
      <c r="A32" s="103">
        <f>Успеваемость!A29</f>
        <v>18</v>
      </c>
      <c r="B32" s="164" t="str">
        <f>IF(ISBLANK(Успеваемость!B29), "", Успеваемость!B29)</f>
        <v>Прыщенко Арсений Алексеевич</v>
      </c>
      <c r="C32" s="165"/>
      <c r="D32" s="165"/>
      <c r="E32" s="166"/>
      <c r="F32" s="64"/>
      <c r="G32" s="53"/>
      <c r="H32" s="53"/>
      <c r="I32" s="53">
        <v>8</v>
      </c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>
        <v>8</v>
      </c>
      <c r="V32" s="53"/>
      <c r="W32" s="53"/>
      <c r="X32" s="53"/>
      <c r="Y32" s="53"/>
      <c r="Z32" s="53"/>
      <c r="AA32" s="53"/>
      <c r="AB32" s="53"/>
      <c r="AC32" s="53"/>
      <c r="AD32" s="53">
        <v>8</v>
      </c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>
        <v>2</v>
      </c>
      <c r="BE32" s="61"/>
      <c r="BF32" s="62">
        <f t="shared" si="2"/>
        <v>26</v>
      </c>
      <c r="BG32" s="39">
        <f t="shared" si="3"/>
        <v>10</v>
      </c>
      <c r="BH32" s="40">
        <f t="shared" si="4"/>
        <v>16</v>
      </c>
      <c r="BI32" s="42"/>
      <c r="BJ32" s="101"/>
      <c r="BK32" s="100"/>
      <c r="BL32" s="100"/>
      <c r="BM32" s="100"/>
      <c r="BN32" s="100"/>
      <c r="BO32" s="100"/>
      <c r="BP32" s="100"/>
      <c r="BQ32" s="100"/>
    </row>
    <row r="33" spans="1:69" ht="20.100000000000001" customHeight="1" thickBot="1">
      <c r="A33" s="103">
        <f>Успеваемость!A30</f>
        <v>19</v>
      </c>
      <c r="B33" s="164" t="str">
        <f>IF(ISBLANK(Успеваемость!B30), "", Успеваемость!B30)</f>
        <v>Садакова Анна Алексеевна</v>
      </c>
      <c r="C33" s="165"/>
      <c r="D33" s="165"/>
      <c r="E33" s="166"/>
      <c r="F33" s="64"/>
      <c r="G33" s="53"/>
      <c r="H33" s="53"/>
      <c r="I33" s="53"/>
      <c r="J33" s="53"/>
      <c r="K33" s="53"/>
      <c r="L33" s="53"/>
      <c r="M33" s="53"/>
      <c r="N33" s="53"/>
      <c r="O33" s="53">
        <v>8</v>
      </c>
      <c r="P33" s="53"/>
      <c r="Q33" s="53">
        <v>8</v>
      </c>
      <c r="R33" s="53"/>
      <c r="S33" s="53">
        <v>8</v>
      </c>
      <c r="T33" s="53"/>
      <c r="U33" s="53">
        <v>8</v>
      </c>
      <c r="V33" s="53"/>
      <c r="W33" s="53">
        <v>4</v>
      </c>
      <c r="X33" s="53"/>
      <c r="Y33" s="53">
        <v>8</v>
      </c>
      <c r="Z33" s="53"/>
      <c r="AA33" s="53">
        <v>8</v>
      </c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>
        <v>8</v>
      </c>
      <c r="AV33" s="53"/>
      <c r="AW33" s="53"/>
      <c r="AX33" s="53"/>
      <c r="AY33" s="53">
        <v>6</v>
      </c>
      <c r="AZ33" s="53"/>
      <c r="BA33" s="53"/>
      <c r="BB33" s="53"/>
      <c r="BC33" s="53"/>
      <c r="BD33" s="53"/>
      <c r="BE33" s="61"/>
      <c r="BF33" s="62">
        <f t="shared" si="2"/>
        <v>66</v>
      </c>
      <c r="BG33" s="39">
        <f t="shared" si="3"/>
        <v>0</v>
      </c>
      <c r="BH33" s="40">
        <f t="shared" si="4"/>
        <v>66</v>
      </c>
      <c r="BI33" s="42"/>
      <c r="BJ33" s="101"/>
      <c r="BK33" s="100"/>
      <c r="BL33" s="100"/>
      <c r="BM33" s="100"/>
      <c r="BN33" s="100"/>
      <c r="BO33" s="100"/>
      <c r="BP33" s="100"/>
      <c r="BQ33" s="100"/>
    </row>
    <row r="34" spans="1:69" ht="20.100000000000001" customHeight="1" thickBot="1">
      <c r="A34" s="103">
        <f>Успеваемость!A31</f>
        <v>20</v>
      </c>
      <c r="B34" s="164" t="str">
        <f>IF(ISBLANK(Успеваемость!B31), "", Успеваемость!B31)</f>
        <v>Русакова Ксения Евгеньевна</v>
      </c>
      <c r="C34" s="165"/>
      <c r="D34" s="165"/>
      <c r="E34" s="166"/>
      <c r="F34" s="64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>
        <v>6</v>
      </c>
      <c r="AP34" s="53"/>
      <c r="AQ34" s="53"/>
      <c r="AR34" s="53"/>
      <c r="AS34" s="53"/>
      <c r="AT34" s="53"/>
      <c r="AU34" s="53"/>
      <c r="AV34" s="53"/>
      <c r="AW34" s="53"/>
      <c r="AX34" s="53"/>
      <c r="AY34" s="53">
        <v>2</v>
      </c>
      <c r="AZ34" s="53"/>
      <c r="BA34" s="53"/>
      <c r="BB34" s="53"/>
      <c r="BC34" s="53"/>
      <c r="BD34" s="53"/>
      <c r="BE34" s="61">
        <v>2</v>
      </c>
      <c r="BF34" s="62">
        <f t="shared" si="2"/>
        <v>10</v>
      </c>
      <c r="BG34" s="39">
        <f t="shared" si="3"/>
        <v>0</v>
      </c>
      <c r="BH34" s="40">
        <f t="shared" si="4"/>
        <v>10</v>
      </c>
      <c r="BI34" s="42"/>
      <c r="BJ34" s="101"/>
      <c r="BK34" s="100"/>
      <c r="BL34" s="100"/>
      <c r="BM34" s="100"/>
      <c r="BN34" s="100"/>
      <c r="BO34" s="100"/>
      <c r="BP34" s="100"/>
      <c r="BQ34" s="100"/>
    </row>
    <row r="35" spans="1:69" ht="20.100000000000001" customHeight="1" thickBot="1">
      <c r="A35" s="103">
        <f>Успеваемость!A32</f>
        <v>21</v>
      </c>
      <c r="B35" s="164" t="str">
        <f>IF(ISBLANK(Успеваемость!B32), "", Успеваемость!B32)</f>
        <v>Усков Дмитрий Сергеевич</v>
      </c>
      <c r="C35" s="165"/>
      <c r="D35" s="165"/>
      <c r="E35" s="166"/>
      <c r="F35" s="64"/>
      <c r="G35" s="53"/>
      <c r="H35" s="53"/>
      <c r="I35" s="53"/>
      <c r="J35" s="53"/>
      <c r="K35" s="53">
        <v>2</v>
      </c>
      <c r="L35" s="53"/>
      <c r="M35" s="53"/>
      <c r="N35" s="53"/>
      <c r="O35" s="53"/>
      <c r="P35" s="53"/>
      <c r="Q35" s="53"/>
      <c r="R35" s="53"/>
      <c r="S35" s="53"/>
      <c r="T35" s="53"/>
      <c r="U35" s="53">
        <v>8</v>
      </c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>
        <v>4</v>
      </c>
      <c r="BD35" s="53"/>
      <c r="BE35" s="61"/>
      <c r="BF35" s="62">
        <f t="shared" si="2"/>
        <v>14</v>
      </c>
      <c r="BG35" s="39">
        <f t="shared" si="3"/>
        <v>0</v>
      </c>
      <c r="BH35" s="40">
        <f t="shared" si="4"/>
        <v>14</v>
      </c>
      <c r="BI35" s="42"/>
      <c r="BJ35" s="101"/>
      <c r="BK35" s="100"/>
      <c r="BL35" s="100"/>
      <c r="BM35" s="100"/>
      <c r="BN35" s="100"/>
      <c r="BO35" s="100"/>
      <c r="BP35" s="100"/>
      <c r="BQ35" s="100"/>
    </row>
    <row r="36" spans="1:69" ht="20.100000000000001" customHeight="1" thickBot="1">
      <c r="A36" s="103">
        <f>Успеваемость!A33</f>
        <v>22</v>
      </c>
      <c r="B36" s="164" t="str">
        <f>IF(ISBLANK(Успеваемость!B33), "", Успеваемость!B33)</f>
        <v>Утёмова Ксения Александровна</v>
      </c>
      <c r="C36" s="165"/>
      <c r="D36" s="165"/>
      <c r="E36" s="166"/>
      <c r="F36" s="64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61">
        <v>2</v>
      </c>
      <c r="BF36" s="62">
        <f t="shared" si="2"/>
        <v>2</v>
      </c>
      <c r="BG36" s="39">
        <f t="shared" si="3"/>
        <v>0</v>
      </c>
      <c r="BH36" s="40">
        <f t="shared" si="4"/>
        <v>2</v>
      </c>
      <c r="BI36" s="42"/>
      <c r="BJ36" s="101"/>
      <c r="BK36" s="100"/>
      <c r="BL36" s="100"/>
      <c r="BM36" s="100"/>
      <c r="BN36" s="100"/>
      <c r="BO36" s="100"/>
      <c r="BP36" s="100"/>
      <c r="BQ36" s="100"/>
    </row>
    <row r="37" spans="1:69" ht="20.100000000000001" customHeight="1" thickBot="1">
      <c r="A37" s="103">
        <f>Успеваемость!A34</f>
        <v>23</v>
      </c>
      <c r="B37" s="164" t="str">
        <f>IF(ISBLANK(Успеваемость!B34), "", Успеваемость!B34)</f>
        <v>Федяев Никита Юрьевич</v>
      </c>
      <c r="C37" s="165"/>
      <c r="D37" s="165"/>
      <c r="E37" s="166"/>
      <c r="F37" s="64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>
        <v>2</v>
      </c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>
        <v>4</v>
      </c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61"/>
      <c r="BF37" s="62">
        <f t="shared" si="2"/>
        <v>6</v>
      </c>
      <c r="BG37" s="39">
        <f t="shared" si="3"/>
        <v>2</v>
      </c>
      <c r="BH37" s="40">
        <f t="shared" si="4"/>
        <v>4</v>
      </c>
      <c r="BI37" s="42"/>
      <c r="BJ37" s="101"/>
      <c r="BK37" s="100"/>
      <c r="BL37" s="100"/>
      <c r="BM37" s="100"/>
      <c r="BN37" s="100"/>
      <c r="BO37" s="100"/>
      <c r="BP37" s="100"/>
      <c r="BQ37" s="100"/>
    </row>
    <row r="38" spans="1:69" ht="20.100000000000001" customHeight="1" thickBot="1">
      <c r="A38" s="103">
        <f>Успеваемость!A35</f>
        <v>24</v>
      </c>
      <c r="B38" s="164" t="str">
        <f>IF(ISBLANK(Успеваемость!B35), "", Успеваемость!B35)</f>
        <v>Черный Даниил Олегович</v>
      </c>
      <c r="C38" s="165"/>
      <c r="D38" s="165"/>
      <c r="E38" s="166"/>
      <c r="F38" s="64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>
        <v>8</v>
      </c>
      <c r="V38" s="53"/>
      <c r="W38" s="53"/>
      <c r="X38" s="53"/>
      <c r="Y38" s="53"/>
      <c r="Z38" s="53"/>
      <c r="AA38" s="53">
        <v>8</v>
      </c>
      <c r="AB38" s="53"/>
      <c r="AC38" s="53"/>
      <c r="AD38" s="53"/>
      <c r="AE38" s="53">
        <v>8</v>
      </c>
      <c r="AF38" s="53"/>
      <c r="AG38" s="53">
        <v>6</v>
      </c>
      <c r="AH38" s="53"/>
      <c r="AI38" s="53">
        <v>4</v>
      </c>
      <c r="AJ38" s="53"/>
      <c r="AK38" s="53"/>
      <c r="AL38" s="53"/>
      <c r="AM38" s="53">
        <v>8</v>
      </c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61"/>
      <c r="BF38" s="62">
        <f t="shared" si="2"/>
        <v>42</v>
      </c>
      <c r="BG38" s="39">
        <f t="shared" si="3"/>
        <v>0</v>
      </c>
      <c r="BH38" s="40">
        <f t="shared" si="4"/>
        <v>42</v>
      </c>
      <c r="BI38" s="42"/>
      <c r="BJ38" s="101"/>
      <c r="BK38" s="100"/>
      <c r="BL38" s="100"/>
      <c r="BM38" s="100"/>
      <c r="BN38" s="100"/>
      <c r="BO38" s="100"/>
      <c r="BP38" s="100"/>
      <c r="BQ38" s="100"/>
    </row>
    <row r="39" spans="1:69" ht="20.100000000000001" customHeight="1" thickBot="1">
      <c r="A39" s="103">
        <f>Успеваемость!A36</f>
        <v>25</v>
      </c>
      <c r="B39" s="164" t="str">
        <f>IF(ISBLANK(Успеваемость!B36), "", Успеваемость!B36)</f>
        <v>Чупраков Денис Сергеевич</v>
      </c>
      <c r="C39" s="165"/>
      <c r="D39" s="165"/>
      <c r="E39" s="166"/>
      <c r="F39" s="64"/>
      <c r="G39" s="53"/>
      <c r="H39" s="53"/>
      <c r="I39" s="53"/>
      <c r="J39" s="53"/>
      <c r="K39" s="53"/>
      <c r="L39" s="53"/>
      <c r="M39" s="53">
        <v>6</v>
      </c>
      <c r="N39" s="53"/>
      <c r="O39" s="53"/>
      <c r="P39" s="53"/>
      <c r="Q39" s="53">
        <v>8</v>
      </c>
      <c r="R39" s="53"/>
      <c r="S39" s="53">
        <v>8</v>
      </c>
      <c r="T39" s="53"/>
      <c r="U39" s="53">
        <v>8</v>
      </c>
      <c r="V39" s="53"/>
      <c r="W39" s="53">
        <v>4</v>
      </c>
      <c r="X39" s="53"/>
      <c r="Y39" s="53">
        <v>8</v>
      </c>
      <c r="Z39" s="53"/>
      <c r="AA39" s="53">
        <v>8</v>
      </c>
      <c r="AB39" s="53"/>
      <c r="AC39" s="53"/>
      <c r="AD39" s="53"/>
      <c r="AE39" s="53">
        <v>8</v>
      </c>
      <c r="AF39" s="53"/>
      <c r="AG39" s="53">
        <v>6</v>
      </c>
      <c r="AH39" s="53"/>
      <c r="AI39" s="53">
        <v>4</v>
      </c>
      <c r="AJ39" s="53"/>
      <c r="AK39" s="53"/>
      <c r="AL39" s="53"/>
      <c r="AM39" s="53"/>
      <c r="AN39" s="53"/>
      <c r="AO39" s="53"/>
      <c r="AP39" s="53"/>
      <c r="AQ39" s="53">
        <v>2</v>
      </c>
      <c r="AR39" s="53"/>
      <c r="AS39" s="53"/>
      <c r="AT39" s="53"/>
      <c r="AU39" s="53">
        <v>8</v>
      </c>
      <c r="AV39" s="53"/>
      <c r="AW39" s="53">
        <v>6</v>
      </c>
      <c r="AX39" s="53"/>
      <c r="AY39" s="53"/>
      <c r="AZ39" s="53"/>
      <c r="BA39" s="53"/>
      <c r="BB39" s="53"/>
      <c r="BC39" s="53"/>
      <c r="BD39" s="53"/>
      <c r="BE39" s="61"/>
      <c r="BF39" s="62">
        <f t="shared" si="2"/>
        <v>84</v>
      </c>
      <c r="BG39" s="39">
        <f t="shared" si="3"/>
        <v>0</v>
      </c>
      <c r="BH39" s="40">
        <f t="shared" si="4"/>
        <v>84</v>
      </c>
      <c r="BI39" s="42"/>
      <c r="BJ39" s="101"/>
      <c r="BK39" s="100"/>
      <c r="BL39" s="100"/>
      <c r="BM39" s="100"/>
      <c r="BN39" s="100"/>
      <c r="BO39" s="100"/>
      <c r="BP39" s="100"/>
      <c r="BQ39" s="100"/>
    </row>
    <row r="40" spans="1:69" ht="20.100000000000001" customHeight="1" thickBot="1">
      <c r="A40" s="103">
        <f>Успеваемость!A37</f>
        <v>26</v>
      </c>
      <c r="B40" s="164" t="str">
        <f>IF(ISBLANK(Успеваемость!B37), "", Успеваемость!B37)</f>
        <v>Шаклеин Арсений Вадимович</v>
      </c>
      <c r="C40" s="165"/>
      <c r="D40" s="165"/>
      <c r="E40" s="166"/>
      <c r="F40" s="64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>
        <v>6</v>
      </c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>
        <v>2</v>
      </c>
      <c r="AT40" s="53"/>
      <c r="AU40" s="53">
        <v>8</v>
      </c>
      <c r="AV40" s="53"/>
      <c r="AW40" s="53"/>
      <c r="AX40" s="53"/>
      <c r="AY40" s="53">
        <v>6</v>
      </c>
      <c r="AZ40" s="53"/>
      <c r="BA40" s="53"/>
      <c r="BB40" s="53"/>
      <c r="BC40" s="53"/>
      <c r="BD40" s="53"/>
      <c r="BE40" s="61"/>
      <c r="BF40" s="62">
        <f t="shared" si="2"/>
        <v>22</v>
      </c>
      <c r="BG40" s="39">
        <f t="shared" si="3"/>
        <v>0</v>
      </c>
      <c r="BH40" s="40">
        <f t="shared" si="4"/>
        <v>22</v>
      </c>
      <c r="BI40" s="42"/>
      <c r="BJ40" s="101"/>
      <c r="BK40" s="100"/>
      <c r="BL40" s="100"/>
      <c r="BM40" s="100"/>
      <c r="BN40" s="100"/>
      <c r="BO40" s="100"/>
      <c r="BP40" s="100"/>
      <c r="BQ40" s="100"/>
    </row>
    <row r="41" spans="1:69" ht="20.100000000000001" customHeight="1" thickBot="1">
      <c r="A41" s="103">
        <f>Успеваемость!A38</f>
        <v>27</v>
      </c>
      <c r="B41" s="164" t="str">
        <f>IF(ISBLANK(Успеваемость!B38), "", Успеваемость!B38)</f>
        <v>Беляев Макар Леонидович</v>
      </c>
      <c r="C41" s="165"/>
      <c r="D41" s="165"/>
      <c r="E41" s="166"/>
      <c r="F41" s="64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61"/>
      <c r="BF41" s="62">
        <f t="shared" si="2"/>
        <v>0</v>
      </c>
      <c r="BG41" s="39">
        <f t="shared" si="3"/>
        <v>0</v>
      </c>
      <c r="BH41" s="40">
        <f t="shared" si="4"/>
        <v>0</v>
      </c>
      <c r="BI41" s="42"/>
      <c r="BJ41" s="101"/>
      <c r="BK41" s="100"/>
      <c r="BL41" s="100"/>
      <c r="BM41" s="100"/>
      <c r="BN41" s="100"/>
      <c r="BO41" s="100"/>
      <c r="BP41" s="100"/>
      <c r="BQ41" s="100"/>
    </row>
    <row r="42" spans="1:69" ht="20.100000000000001" customHeight="1" thickBot="1">
      <c r="A42" s="103">
        <f>Успеваемость!A39</f>
        <v>28</v>
      </c>
      <c r="B42" s="164" t="str">
        <f>IF(ISBLANK(Успеваемость!B39), "", Успеваемость!B39)</f>
        <v>Бильчук Максим Алексеевич</v>
      </c>
      <c r="C42" s="165"/>
      <c r="D42" s="165"/>
      <c r="E42" s="166"/>
      <c r="F42" s="71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>
        <v>8</v>
      </c>
      <c r="T42" s="72"/>
      <c r="U42" s="72"/>
      <c r="V42" s="72"/>
      <c r="W42" s="72"/>
      <c r="X42" s="72"/>
      <c r="Y42" s="72"/>
      <c r="Z42" s="72"/>
      <c r="AA42" s="72">
        <v>8</v>
      </c>
      <c r="AB42" s="72"/>
      <c r="AC42" s="72"/>
      <c r="AD42" s="72"/>
      <c r="AE42" s="72">
        <v>8</v>
      </c>
      <c r="AF42" s="72"/>
      <c r="AG42" s="72">
        <v>6</v>
      </c>
      <c r="AH42" s="72"/>
      <c r="AI42" s="72">
        <v>4</v>
      </c>
      <c r="AJ42" s="72"/>
      <c r="AK42" s="72"/>
      <c r="AL42" s="72"/>
      <c r="AM42" s="72">
        <v>8</v>
      </c>
      <c r="AN42" s="72"/>
      <c r="AO42" s="72">
        <v>6</v>
      </c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>
        <v>4</v>
      </c>
      <c r="BE42" s="73"/>
      <c r="BF42" s="62">
        <f t="shared" ref="BF42:BF45" si="5">IF(B42="", "", SUM(F42:BE42))</f>
        <v>52</v>
      </c>
      <c r="BG42" s="39">
        <f t="shared" ref="BG42:BG44" si="6">IF(B42="", "", SUMIF($F$14:$BE$14,"Б",F42:BE42))</f>
        <v>4</v>
      </c>
      <c r="BH42" s="40">
        <f t="shared" ref="BH42:BH45" si="7">IF(B42="", "", SUMIF($F$14:$BE$14,"У",F42:BE42))</f>
        <v>48</v>
      </c>
      <c r="BI42" s="42"/>
      <c r="BJ42" s="101"/>
      <c r="BK42" s="100"/>
      <c r="BL42" s="100"/>
      <c r="BM42" s="100"/>
      <c r="BN42" s="100"/>
      <c r="BO42" s="100"/>
      <c r="BP42" s="100"/>
      <c r="BQ42" s="100"/>
    </row>
    <row r="43" spans="1:69" ht="20.100000000000001" customHeight="1" thickBot="1">
      <c r="A43" s="103">
        <f>Успеваемость!A40</f>
        <v>29</v>
      </c>
      <c r="B43" s="164" t="str">
        <f>IF(ISBLANK(Успеваемость!B40), "", Успеваемость!B40)</f>
        <v>Гудин Евгений Андреевич</v>
      </c>
      <c r="C43" s="165"/>
      <c r="D43" s="165"/>
      <c r="E43" s="166"/>
      <c r="F43" s="71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3"/>
      <c r="BF43" s="62">
        <f t="shared" si="5"/>
        <v>0</v>
      </c>
      <c r="BG43" s="39">
        <f t="shared" si="6"/>
        <v>0</v>
      </c>
      <c r="BH43" s="40">
        <f t="shared" si="7"/>
        <v>0</v>
      </c>
      <c r="BI43" s="42"/>
      <c r="BJ43" s="101"/>
      <c r="BK43" s="100"/>
      <c r="BL43" s="100"/>
      <c r="BM43" s="100"/>
      <c r="BN43" s="100"/>
      <c r="BO43" s="100"/>
      <c r="BP43" s="100"/>
      <c r="BQ43" s="100"/>
    </row>
    <row r="44" spans="1:69" ht="20.100000000000001" customHeight="1" thickBot="1">
      <c r="A44" s="103">
        <f>Успеваемость!A41</f>
        <v>30</v>
      </c>
      <c r="B44" s="164" t="str">
        <f>IF(ISBLANK(Успеваемость!B41), "", Успеваемость!B41)</f>
        <v>Конышев Иван Сергеевич</v>
      </c>
      <c r="C44" s="165"/>
      <c r="D44" s="165"/>
      <c r="E44" s="166"/>
      <c r="F44" s="71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>
        <v>8</v>
      </c>
      <c r="AV44" s="72"/>
      <c r="AW44" s="72"/>
      <c r="AX44" s="72"/>
      <c r="AY44" s="72"/>
      <c r="AZ44" s="72"/>
      <c r="BA44" s="72"/>
      <c r="BB44" s="72"/>
      <c r="BC44" s="72"/>
      <c r="BD44" s="72"/>
      <c r="BE44" s="73"/>
      <c r="BF44" s="62">
        <f t="shared" si="5"/>
        <v>8</v>
      </c>
      <c r="BG44" s="39">
        <f t="shared" si="6"/>
        <v>0</v>
      </c>
      <c r="BH44" s="40">
        <f t="shared" si="7"/>
        <v>8</v>
      </c>
      <c r="BI44" s="42"/>
      <c r="BJ44" s="101"/>
      <c r="BK44" s="100"/>
      <c r="BL44" s="100"/>
      <c r="BM44" s="100"/>
      <c r="BN44" s="100"/>
      <c r="BO44" s="100"/>
      <c r="BP44" s="100"/>
      <c r="BQ44" s="100"/>
    </row>
    <row r="45" spans="1:69" ht="20.100000000000001" customHeight="1">
      <c r="A45" s="103">
        <f>Успеваемость!A42</f>
        <v>31</v>
      </c>
      <c r="B45" s="164" t="str">
        <f>IF(ISBLANK(Успеваемость!B42), "", Успеваемость!B42)</f>
        <v>Котанджян Валерий Каренович</v>
      </c>
      <c r="C45" s="165"/>
      <c r="D45" s="165"/>
      <c r="E45" s="166"/>
      <c r="F45" s="71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>
        <v>2</v>
      </c>
      <c r="S45" s="72"/>
      <c r="T45" s="72"/>
      <c r="U45" s="72">
        <v>8</v>
      </c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>
        <v>6</v>
      </c>
      <c r="AP45" s="72"/>
      <c r="AQ45" s="72"/>
      <c r="AR45" s="72"/>
      <c r="AS45" s="72"/>
      <c r="AT45" s="72"/>
      <c r="AU45" s="72">
        <v>8</v>
      </c>
      <c r="AV45" s="72"/>
      <c r="AW45" s="72"/>
      <c r="AX45" s="72"/>
      <c r="AY45" s="72"/>
      <c r="AZ45" s="72"/>
      <c r="BA45" s="72"/>
      <c r="BB45" s="72"/>
      <c r="BC45" s="72"/>
      <c r="BD45" s="72"/>
      <c r="BE45" s="73">
        <v>6</v>
      </c>
      <c r="BF45" s="62">
        <f t="shared" si="5"/>
        <v>30</v>
      </c>
      <c r="BG45" s="39">
        <f>IF(B45="", "", SUMIF($F$14:$BE$14,"Б",F45:BE45))</f>
        <v>2</v>
      </c>
      <c r="BH45" s="40">
        <f t="shared" si="7"/>
        <v>28</v>
      </c>
      <c r="BI45" s="42"/>
      <c r="BJ45" s="101"/>
      <c r="BK45" s="100"/>
      <c r="BL45" s="100"/>
      <c r="BM45" s="100"/>
      <c r="BN45" s="100"/>
      <c r="BO45" s="100"/>
      <c r="BP45" s="100"/>
      <c r="BQ45" s="100"/>
    </row>
    <row r="46" spans="1:69">
      <c r="A46" s="77"/>
      <c r="B46" s="77"/>
      <c r="C46" s="77"/>
      <c r="D46" s="77"/>
      <c r="E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</row>
    <row r="47" spans="1:69" ht="22.5" customHeight="1">
      <c r="A47" s="35" t="s">
        <v>40</v>
      </c>
      <c r="B47" s="35"/>
      <c r="C47" s="35"/>
      <c r="D47" s="35"/>
      <c r="E47" s="35"/>
      <c r="F47" s="35"/>
      <c r="G47" s="173">
        <f>SUM(BF15:BF45)</f>
        <v>704</v>
      </c>
      <c r="H47" s="173"/>
      <c r="I47" s="35"/>
      <c r="J47" s="35"/>
      <c r="K47" s="35"/>
      <c r="P47" s="35"/>
      <c r="Q47" s="36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171" t="s">
        <v>54</v>
      </c>
      <c r="AE47" s="171"/>
      <c r="AF47" s="171"/>
      <c r="AG47" s="171"/>
      <c r="AH47" s="171"/>
      <c r="AI47" s="171"/>
      <c r="AJ47" s="171"/>
      <c r="AK47" s="171"/>
      <c r="AL47" s="171"/>
      <c r="AM47" s="173"/>
      <c r="AN47" s="173"/>
      <c r="AO47" s="173"/>
      <c r="AP47" s="173"/>
      <c r="AQ47" s="38"/>
      <c r="AR47" s="38"/>
      <c r="AS47" s="38"/>
      <c r="AT47" s="38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54" t="s">
        <v>42</v>
      </c>
      <c r="BF47" s="35"/>
      <c r="BG47" s="35"/>
      <c r="BH47" s="35"/>
      <c r="BI47" s="35"/>
      <c r="BJ47" s="77"/>
    </row>
    <row r="48" spans="1:69" ht="22.5" customHeight="1">
      <c r="A48" s="35" t="s">
        <v>41</v>
      </c>
      <c r="B48" s="35"/>
      <c r="C48" s="35"/>
      <c r="D48" s="35"/>
      <c r="E48" s="35"/>
      <c r="G48" s="174" t="e">
        <f>(COUNTA(B15:E45)*BH8-G47)/(COUNTA(B15:E45)*BH8)</f>
        <v>#DIV/0!</v>
      </c>
      <c r="H48" s="174"/>
      <c r="K48" s="35"/>
      <c r="N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171" t="s">
        <v>55</v>
      </c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3"/>
      <c r="AR48" s="173"/>
      <c r="AS48" s="173"/>
      <c r="AT48" s="173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77"/>
    </row>
    <row r="49" spans="1:61" ht="33.75" customHeight="1">
      <c r="A49" s="170" t="s">
        <v>52</v>
      </c>
      <c r="B49" s="170"/>
      <c r="C49" s="170"/>
      <c r="D49" s="170"/>
      <c r="E49" s="170"/>
      <c r="F49" s="170"/>
      <c r="G49" s="169" t="e">
        <f>SUM(BG15:BG45)/(COUNTA(B15:E45)*BH8)</f>
        <v>#DIV/0!</v>
      </c>
      <c r="H49" s="169"/>
      <c r="I49" s="50"/>
      <c r="J49" s="50"/>
      <c r="K49" s="50"/>
      <c r="L49" s="35"/>
      <c r="M49" s="35"/>
      <c r="N49" s="35"/>
      <c r="O49" s="35"/>
      <c r="P49" s="35"/>
      <c r="Q49" s="35"/>
      <c r="R49" s="35"/>
      <c r="S49" s="35"/>
      <c r="T49" s="37"/>
      <c r="U49" s="37"/>
      <c r="V49" s="37"/>
      <c r="W49" s="37"/>
      <c r="X49" s="37"/>
      <c r="Y49" s="37"/>
      <c r="Z49" s="37"/>
      <c r="AA49" s="37"/>
      <c r="AB49" s="35"/>
      <c r="AC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U49" s="35"/>
      <c r="AV49" s="37"/>
      <c r="AW49" s="37"/>
      <c r="AX49" s="37"/>
      <c r="AY49" s="37"/>
      <c r="AZ49" s="37"/>
      <c r="BA49" s="37"/>
      <c r="BB49" s="37"/>
      <c r="BC49" s="37"/>
      <c r="BD49" s="172"/>
      <c r="BE49" s="172"/>
      <c r="BF49" s="37"/>
      <c r="BG49" s="37"/>
      <c r="BH49" s="37"/>
      <c r="BI49" s="37"/>
    </row>
    <row r="50" spans="1:61" ht="30.75" customHeight="1">
      <c r="A50" s="168" t="s">
        <v>56</v>
      </c>
      <c r="B50" s="168"/>
      <c r="C50" s="168"/>
      <c r="D50" s="168"/>
      <c r="E50" s="168"/>
      <c r="F50" s="168"/>
      <c r="G50" s="169" t="e">
        <f>SUM(BH15:BH45)/(COUNTA(B15:E45)*BH8)</f>
        <v>#DIV/0!</v>
      </c>
      <c r="H50" s="169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BD50" s="167"/>
      <c r="BE50" s="167"/>
    </row>
  </sheetData>
  <sheetProtection selectLockedCells="1"/>
  <mergeCells count="87"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B19:E19"/>
    <mergeCell ref="G47:H47"/>
    <mergeCell ref="G48:H48"/>
    <mergeCell ref="AM47:AP47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42:E42"/>
    <mergeCell ref="B43:E43"/>
    <mergeCell ref="BD50:BE50"/>
    <mergeCell ref="A50:F50"/>
    <mergeCell ref="G50:H50"/>
    <mergeCell ref="A49:F49"/>
    <mergeCell ref="AD47:AL47"/>
    <mergeCell ref="G49:H49"/>
    <mergeCell ref="AD48:AP48"/>
    <mergeCell ref="BD49:BE49"/>
    <mergeCell ref="AQ48:AT48"/>
    <mergeCell ref="B44:E44"/>
    <mergeCell ref="B45:E45"/>
    <mergeCell ref="B30:E30"/>
    <mergeCell ref="B31:E31"/>
    <mergeCell ref="B32:E32"/>
    <mergeCell ref="B33:E33"/>
    <mergeCell ref="B34:E34"/>
    <mergeCell ref="B39:E39"/>
    <mergeCell ref="B40:E40"/>
    <mergeCell ref="B41:E41"/>
    <mergeCell ref="B35:E35"/>
    <mergeCell ref="B36:E36"/>
    <mergeCell ref="B37:E37"/>
    <mergeCell ref="B38:E38"/>
  </mergeCells>
  <conditionalFormatting sqref="BG15:BG45">
    <cfRule type="cellIs" dxfId="2" priority="2" operator="equal">
      <formula>""</formula>
    </cfRule>
    <cfRule type="cellIs" dxfId="1" priority="5" stopIfTrue="1" operator="greaterThan">
      <formula>20</formula>
    </cfRule>
  </conditionalFormatting>
  <conditionalFormatting sqref="BH8:BI8 F13:AX13 AZ13 BD13 BB13">
    <cfRule type="cellIs" dxfId="0" priority="4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theme="7" tint="0.39997558519241921"/>
  </sheetPr>
  <dimension ref="A2:M58"/>
  <sheetViews>
    <sheetView showGridLines="0" zoomScale="85" zoomScaleNormal="134" workbookViewId="0">
      <selection activeCell="H25" sqref="H25"/>
    </sheetView>
  </sheetViews>
  <sheetFormatPr defaultRowHeight="14.4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>
      <c r="A2" s="163" t="s">
        <v>45</v>
      </c>
      <c r="B2" s="163"/>
      <c r="C2" s="163"/>
      <c r="D2" s="163"/>
      <c r="E2" s="163"/>
      <c r="F2" s="163"/>
      <c r="G2" s="163"/>
      <c r="H2" s="163"/>
      <c r="I2" s="43"/>
      <c r="J2" s="43"/>
      <c r="K2" s="8"/>
      <c r="L2" s="8"/>
      <c r="M2" s="8"/>
    </row>
    <row r="3" spans="1:13" ht="15.6">
      <c r="B3" s="45" t="s">
        <v>44</v>
      </c>
      <c r="C3" s="46" t="str">
        <f>Успеваемость!G7</f>
        <v>март</v>
      </c>
      <c r="D3" s="43" t="str">
        <f>Успеваемость!I7</f>
        <v>2022-2023 УЧЕБНОГО ГОДА</v>
      </c>
      <c r="G3" s="8"/>
      <c r="H3" s="8"/>
      <c r="I3" s="43"/>
      <c r="J3" s="43"/>
      <c r="K3" s="8"/>
      <c r="L3" s="8"/>
      <c r="M3" s="8"/>
    </row>
    <row r="4" spans="1:13" ht="15.6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>
      <c r="A5" s="44" t="s">
        <v>3</v>
      </c>
      <c r="B5" s="48">
        <v>32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>
      <c r="A6" s="44" t="s">
        <v>48</v>
      </c>
      <c r="B6" s="43" t="str">
        <f>LOOKUP(B5,Успеваемость!A12:A42,Успеваемость!B12:B42)</f>
        <v>Котанджян Валерий Каренович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>
      <c r="A9" s="212" t="s">
        <v>46</v>
      </c>
      <c r="B9" s="212"/>
      <c r="C9" s="212"/>
      <c r="D9" s="212"/>
      <c r="E9" s="212"/>
      <c r="F9" s="212"/>
      <c r="G9" s="212"/>
      <c r="H9" s="49" t="s">
        <v>47</v>
      </c>
      <c r="I9" s="43"/>
      <c r="J9" s="43"/>
      <c r="K9" s="43"/>
      <c r="L9" s="43"/>
      <c r="M9" s="8"/>
    </row>
    <row r="10" spans="1:13" ht="15.6">
      <c r="A10" s="211" t="str">
        <f>IF(Успеваемость!C$11="", "", Успеваемость!C$11)</f>
        <v>Русский язык</v>
      </c>
      <c r="B10" s="211"/>
      <c r="C10" s="211"/>
      <c r="D10" s="211"/>
      <c r="E10" s="211"/>
      <c r="F10" s="211"/>
      <c r="G10" s="211"/>
      <c r="H10" s="47">
        <f>IF(A10="", "", LOOKUP($B$5,Успеваемость!$A$12:$A$42, Успеваемость!C$12:C$42))</f>
        <v>3</v>
      </c>
      <c r="I10" s="44"/>
      <c r="J10" s="44"/>
      <c r="K10" s="44"/>
      <c r="L10" s="44"/>
      <c r="M10" s="8"/>
    </row>
    <row r="11" spans="1:13" ht="15.6">
      <c r="A11" s="211" t="str">
        <f>IF(Успеваемость!D$11="", "", Успеваемость!D$11)</f>
        <v>Литература</v>
      </c>
      <c r="B11" s="211"/>
      <c r="C11" s="211"/>
      <c r="D11" s="211"/>
      <c r="E11" s="211"/>
      <c r="F11" s="211"/>
      <c r="G11" s="211"/>
      <c r="H11" s="47">
        <f>IF(A11="", "",LOOKUP($B$5,Успеваемость!$A$12:$A$42,Успеваемость!D$12:D$42))</f>
        <v>3</v>
      </c>
      <c r="I11" s="8"/>
      <c r="J11" s="8"/>
      <c r="K11" s="8"/>
      <c r="L11" s="8"/>
      <c r="M11" s="8"/>
    </row>
    <row r="12" spans="1:13" ht="15.6">
      <c r="A12" s="211" t="str">
        <f>IF(Успеваемость!E$11="", "", Успеваемость!E$11)</f>
        <v>Иностранный язык</v>
      </c>
      <c r="B12" s="211"/>
      <c r="C12" s="211"/>
      <c r="D12" s="211"/>
      <c r="E12" s="211"/>
      <c r="F12" s="211"/>
      <c r="G12" s="211"/>
      <c r="H12" s="47">
        <f>IF(A12="", "",LOOKUP($B$5,Успеваемость!$A$12:$A$42,Успеваемость!E$12:E$42))</f>
        <v>3</v>
      </c>
      <c r="I12" s="8"/>
      <c r="J12" s="8"/>
      <c r="K12" s="8"/>
      <c r="L12" s="8"/>
      <c r="M12" s="8"/>
    </row>
    <row r="13" spans="1:13" ht="15.6">
      <c r="A13" s="211" t="str">
        <f>IF(Успеваемость!F$11="", "", Успеваемость!F$11)</f>
        <v xml:space="preserve">Математика </v>
      </c>
      <c r="B13" s="211"/>
      <c r="C13" s="211"/>
      <c r="D13" s="211"/>
      <c r="E13" s="211"/>
      <c r="F13" s="211"/>
      <c r="G13" s="211"/>
      <c r="H13" s="47">
        <f>IF(A13="", "",LOOKUP($B$5,Успеваемость!$A$12:$A$42,Успеваемость!F$12:F$42))</f>
        <v>2</v>
      </c>
      <c r="I13" s="8"/>
      <c r="J13" s="8"/>
      <c r="K13" s="8"/>
      <c r="L13" s="8"/>
      <c r="M13" s="8"/>
    </row>
    <row r="14" spans="1:13" ht="15.6">
      <c r="A14" s="211" t="str">
        <f>IF(Успеваемость!G$11="", "", Успеваемость!G$11)</f>
        <v>История</v>
      </c>
      <c r="B14" s="211"/>
      <c r="C14" s="211"/>
      <c r="D14" s="211"/>
      <c r="E14" s="211"/>
      <c r="F14" s="211"/>
      <c r="G14" s="211"/>
      <c r="H14" s="47">
        <f>IF(A14="", "",LOOKUP($B$5,Успеваемость!$A$12:$A$42,Успеваемость!G$12:G$42))</f>
        <v>2</v>
      </c>
      <c r="I14" s="8"/>
      <c r="J14" s="8"/>
      <c r="K14" s="8"/>
      <c r="L14" s="8"/>
      <c r="M14" s="8"/>
    </row>
    <row r="15" spans="1:13" ht="15.6">
      <c r="A15" s="211" t="str">
        <f>IF(Успеваемость!H$11="", "", Успеваемость!H$11)</f>
        <v>Физическая культура</v>
      </c>
      <c r="B15" s="211"/>
      <c r="C15" s="211"/>
      <c r="D15" s="211"/>
      <c r="E15" s="211"/>
      <c r="F15" s="211"/>
      <c r="G15" s="211"/>
      <c r="H15" s="47">
        <f>IF(A15="", "",LOOKUP($B$5,Успеваемость!$A$12:$A$42,Успеваемость!H$12:H$42))</f>
        <v>0</v>
      </c>
      <c r="I15" s="8"/>
      <c r="J15" s="8"/>
      <c r="K15" s="8"/>
      <c r="L15" s="8"/>
      <c r="M15" s="8"/>
    </row>
    <row r="16" spans="1:13" ht="15.6">
      <c r="A16" s="211" t="str">
        <f>IF(Успеваемость!I$11="", "", Успеваемость!I$11)</f>
        <v>Основы безопасности жизнедеятельности</v>
      </c>
      <c r="B16" s="211"/>
      <c r="C16" s="211"/>
      <c r="D16" s="211"/>
      <c r="E16" s="211"/>
      <c r="F16" s="211"/>
      <c r="G16" s="211"/>
      <c r="H16" s="47">
        <f>IF(A16="", "",LOOKUP($B$5,Успеваемость!$A$12:$A$42,Успеваемость!I$12:I$42))</f>
        <v>3</v>
      </c>
      <c r="I16" s="8"/>
      <c r="J16" s="8"/>
      <c r="K16" s="8"/>
      <c r="L16" s="8"/>
      <c r="M16" s="8"/>
    </row>
    <row r="17" spans="1:13" ht="15.6">
      <c r="A17" s="211" t="str">
        <f>IF(Успеваемость!J$11="", "", Успеваемость!J$11)</f>
        <v xml:space="preserve">Информатика </v>
      </c>
      <c r="B17" s="211"/>
      <c r="C17" s="211"/>
      <c r="D17" s="211"/>
      <c r="E17" s="211"/>
      <c r="F17" s="211"/>
      <c r="G17" s="211"/>
      <c r="H17" s="47">
        <f>IF(A17="", "",LOOKUP($B$5,Успеваемость!$A$12:$A$42,Успеваемость!J$12:J$42))</f>
        <v>0</v>
      </c>
      <c r="I17" s="8"/>
      <c r="J17" s="8"/>
      <c r="K17" s="8"/>
      <c r="L17" s="8"/>
      <c r="M17" s="8"/>
    </row>
    <row r="18" spans="1:13" ht="15.6">
      <c r="A18" s="211" t="str">
        <f>IF(Успеваемость!K$11="", "", Успеваемость!K$11)</f>
        <v>Физика</v>
      </c>
      <c r="B18" s="211"/>
      <c r="C18" s="211"/>
      <c r="D18" s="211"/>
      <c r="E18" s="211"/>
      <c r="F18" s="211"/>
      <c r="G18" s="211"/>
      <c r="H18" s="47">
        <f>IF(A18="", "",LOOKUP($B$5,Успеваемость!$A$12:$A$42,Успеваемость!K$12:K$42))</f>
        <v>0</v>
      </c>
      <c r="I18" s="8"/>
      <c r="J18" s="8"/>
      <c r="K18" s="8"/>
      <c r="L18" s="8"/>
      <c r="M18" s="8"/>
    </row>
    <row r="19" spans="1:13" ht="15.6">
      <c r="A19" s="211" t="str">
        <f>IF(Успеваемость!L$11="", "", Успеваемость!L$11)</f>
        <v>Основы проектной деятельности</v>
      </c>
      <c r="B19" s="211"/>
      <c r="C19" s="211"/>
      <c r="D19" s="211"/>
      <c r="E19" s="211"/>
      <c r="F19" s="211"/>
      <c r="G19" s="211"/>
      <c r="H19" s="47">
        <f>IF(A19="", "",LOOKUP($B$5,Успеваемость!$A$12:$A$42,Успеваемость!L$12:L$42))</f>
        <v>3</v>
      </c>
      <c r="I19" s="8"/>
      <c r="J19" s="8"/>
      <c r="K19" s="8"/>
      <c r="L19" s="8"/>
      <c r="M19" s="8"/>
    </row>
    <row r="20" spans="1:13" ht="15.9" customHeight="1">
      <c r="A20" s="211" t="str">
        <f>IF(Успеваемость!M$11="", "", Успеваемость!M$11)</f>
        <v xml:space="preserve"> </v>
      </c>
      <c r="B20" s="211"/>
      <c r="C20" s="211"/>
      <c r="D20" s="211"/>
      <c r="E20" s="211"/>
      <c r="F20" s="211"/>
      <c r="G20" s="211"/>
      <c r="H20" s="47" t="str">
        <f>IF(A20="", "",LOOKUP($B$5,Успеваемость!$A$12:$A$42,Успеваемость!M$12:M$42))</f>
        <v xml:space="preserve"> </v>
      </c>
      <c r="I20" s="8"/>
      <c r="J20" s="8"/>
      <c r="K20" s="8"/>
      <c r="L20" s="8"/>
      <c r="M20" s="8"/>
    </row>
    <row r="21" spans="1:13" ht="15.6">
      <c r="A21" s="211" t="str">
        <f>IF(Успеваемость!N$11="", "", Успеваемость!N$11)</f>
        <v/>
      </c>
      <c r="B21" s="211"/>
      <c r="C21" s="211"/>
      <c r="D21" s="211"/>
      <c r="E21" s="211"/>
      <c r="F21" s="211"/>
      <c r="G21" s="211"/>
      <c r="H21" s="47" t="str">
        <f>IF(A21="", "",LOOKUP($B$5,Успеваемость!$A$12:$A$42,Успеваемость!N$12:N$42))</f>
        <v/>
      </c>
      <c r="I21" s="8"/>
      <c r="J21" s="8"/>
      <c r="K21" s="8"/>
      <c r="L21" s="8"/>
      <c r="M21" s="8"/>
    </row>
    <row r="22" spans="1:13" ht="15.6">
      <c r="A22" s="211" t="str">
        <f>IF(Успеваемость!O$11="", "", Успеваемость!O$11)</f>
        <v/>
      </c>
      <c r="B22" s="211"/>
      <c r="C22" s="211"/>
      <c r="D22" s="211"/>
      <c r="E22" s="211"/>
      <c r="F22" s="211"/>
      <c r="G22" s="211"/>
      <c r="H22" s="47" t="str">
        <f>IF(A22="", "",LOOKUP($B$5,Успеваемость!$A$12:$A$42,Успеваемость!O$12:O$42))</f>
        <v/>
      </c>
      <c r="I22" s="8"/>
      <c r="J22" s="8"/>
      <c r="K22" s="8"/>
      <c r="L22" s="8"/>
      <c r="M22" s="8"/>
    </row>
    <row r="23" spans="1:13" ht="15.6">
      <c r="A23" s="104" t="s">
        <v>57</v>
      </c>
      <c r="B23" s="8" t="str">
        <f>C3</f>
        <v>март</v>
      </c>
      <c r="C23" s="8"/>
      <c r="D23" s="8"/>
      <c r="E23" s="8"/>
      <c r="F23" s="8"/>
      <c r="G23" s="8"/>
      <c r="H23" s="85"/>
      <c r="I23" s="8"/>
      <c r="J23" s="8"/>
      <c r="K23" s="8"/>
      <c r="L23" s="8"/>
      <c r="M23" s="8"/>
    </row>
    <row r="24" spans="1:13" ht="15.6">
      <c r="A24" s="217" t="s">
        <v>49</v>
      </c>
      <c r="B24" s="217"/>
      <c r="C24" s="217"/>
      <c r="D24" s="217"/>
      <c r="E24" s="217"/>
      <c r="F24" s="217"/>
      <c r="G24" s="217"/>
      <c r="H24" s="84">
        <f>LOOKUP(B5,Посещаемость!A15:A45,Посещаемость!BH15:BH45)</f>
        <v>28</v>
      </c>
      <c r="I24" s="8"/>
      <c r="J24" s="8"/>
      <c r="K24" s="8"/>
      <c r="L24" s="8"/>
      <c r="M24" s="8"/>
    </row>
    <row r="25" spans="1:13" ht="15.6">
      <c r="A25" s="218" t="s">
        <v>50</v>
      </c>
      <c r="B25" s="218"/>
      <c r="C25" s="218"/>
      <c r="D25" s="218"/>
      <c r="E25" s="218"/>
      <c r="F25" s="218"/>
      <c r="G25" s="218"/>
      <c r="H25" s="84">
        <f>LOOKUP(B5,Посещаемость!A15:A45,Посещаемость!BG15:BG45)</f>
        <v>2</v>
      </c>
      <c r="I25" s="8"/>
      <c r="J25" s="8"/>
      <c r="K25" s="8"/>
      <c r="L25" s="8"/>
      <c r="M25" s="8"/>
    </row>
    <row r="26" spans="1:13" ht="15.6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>
      <c r="A27" s="213" t="s">
        <v>31</v>
      </c>
      <c r="B27" s="213"/>
      <c r="C27" s="213"/>
      <c r="D27" s="219"/>
      <c r="E27" s="219"/>
      <c r="F27" s="213" t="s">
        <v>102</v>
      </c>
      <c r="G27" s="213"/>
      <c r="H27" s="21"/>
      <c r="I27" s="8"/>
      <c r="J27" s="8"/>
      <c r="K27" s="8"/>
      <c r="L27" s="8"/>
      <c r="M27" s="8"/>
    </row>
    <row r="28" spans="1:13" ht="15.6">
      <c r="I28" s="8"/>
      <c r="J28" s="8"/>
      <c r="K28" s="8"/>
      <c r="L28" s="8"/>
      <c r="M28" s="8"/>
    </row>
    <row r="29" spans="1:13" ht="15.6">
      <c r="A29" s="163"/>
      <c r="B29" s="163"/>
      <c r="C29" s="163"/>
      <c r="D29" s="163"/>
      <c r="E29" s="163"/>
      <c r="F29" s="163"/>
      <c r="G29" s="163"/>
      <c r="H29" s="163"/>
      <c r="I29" s="8"/>
      <c r="J29" s="8"/>
      <c r="K29" s="8"/>
      <c r="L29" s="8"/>
      <c r="M29" s="8"/>
    </row>
    <row r="30" spans="1:13" ht="15.6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>
      <c r="A35" s="44"/>
      <c r="B35" s="43"/>
      <c r="C35" s="43"/>
      <c r="D35" s="43"/>
      <c r="E35" s="43"/>
      <c r="F35" s="43"/>
      <c r="G35" s="43"/>
      <c r="H35" s="43"/>
    </row>
    <row r="36" spans="1:13" ht="15.6">
      <c r="A36" s="163"/>
      <c r="B36" s="163"/>
      <c r="C36" s="163"/>
      <c r="D36" s="163"/>
      <c r="E36" s="163"/>
      <c r="F36" s="163"/>
      <c r="G36" s="163"/>
      <c r="H36" s="91"/>
    </row>
    <row r="37" spans="1:13" ht="15.6">
      <c r="A37" s="214"/>
      <c r="B37" s="214"/>
      <c r="C37" s="214"/>
      <c r="D37" s="214"/>
      <c r="E37" s="214"/>
      <c r="F37" s="214"/>
      <c r="G37" s="214"/>
      <c r="H37" s="11"/>
    </row>
    <row r="38" spans="1:13" ht="15.6">
      <c r="A38" s="214"/>
      <c r="B38" s="214"/>
      <c r="C38" s="214"/>
      <c r="D38" s="214"/>
      <c r="E38" s="214"/>
      <c r="F38" s="214"/>
      <c r="G38" s="214"/>
      <c r="H38" s="11"/>
    </row>
    <row r="39" spans="1:13" ht="15.6">
      <c r="A39" s="214"/>
      <c r="B39" s="214"/>
      <c r="C39" s="214"/>
      <c r="D39" s="214"/>
      <c r="E39" s="214"/>
      <c r="F39" s="214"/>
      <c r="G39" s="214"/>
      <c r="H39" s="11"/>
    </row>
    <row r="40" spans="1:13" ht="15.6">
      <c r="A40" s="214"/>
      <c r="B40" s="214"/>
      <c r="C40" s="214"/>
      <c r="D40" s="214"/>
      <c r="E40" s="214"/>
      <c r="F40" s="214"/>
      <c r="G40" s="214"/>
      <c r="H40" s="11"/>
    </row>
    <row r="41" spans="1:13" ht="15" customHeight="1">
      <c r="A41" s="214"/>
      <c r="B41" s="214"/>
      <c r="C41" s="214"/>
      <c r="D41" s="214"/>
      <c r="E41" s="214"/>
      <c r="F41" s="214"/>
      <c r="G41" s="214"/>
      <c r="H41" s="11"/>
    </row>
    <row r="42" spans="1:13" ht="15" customHeight="1">
      <c r="A42" s="214"/>
      <c r="B42" s="214"/>
      <c r="C42" s="214"/>
      <c r="D42" s="214"/>
      <c r="E42" s="214"/>
      <c r="F42" s="214"/>
      <c r="G42" s="214"/>
      <c r="H42" s="11"/>
    </row>
    <row r="43" spans="1:13" ht="15" customHeight="1">
      <c r="A43" s="214"/>
      <c r="B43" s="214"/>
      <c r="C43" s="214"/>
      <c r="D43" s="214"/>
      <c r="E43" s="214"/>
      <c r="F43" s="214"/>
      <c r="G43" s="214"/>
      <c r="H43" s="11"/>
    </row>
    <row r="44" spans="1:13" ht="15" customHeight="1">
      <c r="A44" s="214"/>
      <c r="B44" s="214"/>
      <c r="C44" s="214"/>
      <c r="D44" s="214"/>
      <c r="E44" s="214"/>
      <c r="F44" s="214"/>
      <c r="G44" s="214"/>
      <c r="H44" s="11"/>
    </row>
    <row r="45" spans="1:13" ht="15" customHeight="1">
      <c r="A45" s="214"/>
      <c r="B45" s="214"/>
      <c r="C45" s="214"/>
      <c r="D45" s="214"/>
      <c r="E45" s="214"/>
      <c r="F45" s="214"/>
      <c r="G45" s="214"/>
      <c r="H45" s="11"/>
    </row>
    <row r="46" spans="1:13" ht="15" customHeight="1">
      <c r="A46" s="214"/>
      <c r="B46" s="214"/>
      <c r="C46" s="214"/>
      <c r="D46" s="214"/>
      <c r="E46" s="214"/>
      <c r="F46" s="214"/>
      <c r="G46" s="214"/>
      <c r="H46" s="11"/>
    </row>
    <row r="47" spans="1:13" ht="15" customHeight="1">
      <c r="A47" s="214"/>
      <c r="B47" s="214"/>
      <c r="C47" s="214"/>
      <c r="D47" s="214"/>
      <c r="E47" s="214"/>
      <c r="F47" s="214"/>
      <c r="G47" s="214"/>
      <c r="H47" s="11"/>
    </row>
    <row r="48" spans="1:13" ht="15.6">
      <c r="A48" s="214"/>
      <c r="B48" s="214"/>
      <c r="C48" s="214"/>
      <c r="D48" s="214"/>
      <c r="E48" s="214"/>
      <c r="F48" s="214"/>
      <c r="G48" s="214"/>
      <c r="H48" s="11"/>
    </row>
    <row r="49" spans="1:8" ht="15.6">
      <c r="A49" s="214"/>
      <c r="B49" s="214"/>
      <c r="C49" s="214"/>
      <c r="D49" s="214"/>
      <c r="E49" s="214"/>
      <c r="F49" s="214"/>
      <c r="G49" s="214"/>
      <c r="H49" s="11"/>
    </row>
    <row r="50" spans="1:8" ht="15.6">
      <c r="A50" s="214"/>
      <c r="B50" s="214"/>
      <c r="C50" s="214"/>
      <c r="D50" s="214"/>
      <c r="E50" s="214"/>
      <c r="F50" s="214"/>
      <c r="G50" s="214"/>
      <c r="H50" s="11"/>
    </row>
    <row r="51" spans="1:8" ht="15.6">
      <c r="A51" s="214"/>
      <c r="B51" s="214"/>
      <c r="C51" s="214"/>
      <c r="D51" s="214"/>
      <c r="E51" s="214"/>
      <c r="F51" s="214"/>
      <c r="G51" s="214"/>
      <c r="H51" s="11"/>
    </row>
    <row r="52" spans="1:8" ht="15.6">
      <c r="A52" s="214"/>
      <c r="B52" s="214"/>
      <c r="C52" s="214"/>
      <c r="D52" s="214"/>
      <c r="E52" s="214"/>
      <c r="F52" s="214"/>
      <c r="G52" s="214"/>
      <c r="H52" s="11"/>
    </row>
    <row r="53" spans="1:8" ht="15.6">
      <c r="A53" s="214"/>
      <c r="B53" s="214"/>
      <c r="C53" s="214"/>
      <c r="D53" s="214"/>
      <c r="E53" s="214"/>
      <c r="F53" s="214"/>
      <c r="G53" s="214"/>
      <c r="H53" s="11"/>
    </row>
    <row r="54" spans="1:8" ht="15.6">
      <c r="A54" s="8"/>
      <c r="B54" s="8"/>
      <c r="C54" s="8"/>
      <c r="D54" s="8"/>
      <c r="E54" s="8"/>
      <c r="F54" s="8"/>
      <c r="G54" s="8"/>
      <c r="H54" s="8"/>
    </row>
    <row r="55" spans="1:8" ht="15.6">
      <c r="A55" s="215"/>
      <c r="B55" s="215"/>
      <c r="C55" s="215"/>
      <c r="D55" s="215"/>
      <c r="E55" s="215"/>
      <c r="F55" s="215"/>
      <c r="G55" s="215"/>
      <c r="H55" s="11"/>
    </row>
    <row r="56" spans="1:8" ht="15.6">
      <c r="A56" s="216"/>
      <c r="B56" s="216"/>
      <c r="C56" s="216"/>
      <c r="D56" s="216"/>
      <c r="E56" s="216"/>
      <c r="F56" s="216"/>
      <c r="G56" s="216"/>
      <c r="H56" s="11"/>
    </row>
    <row r="58" spans="1:8" ht="15.6">
      <c r="A58" s="213"/>
      <c r="B58" s="213"/>
      <c r="C58" s="213"/>
      <c r="D58" s="213"/>
      <c r="E58" s="213"/>
      <c r="F58" s="213"/>
      <c r="G58" s="213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2021-09-28T18:04:38Z</cp:lastPrinted>
  <dcterms:created xsi:type="dcterms:W3CDTF">2015-09-28T07:34:21Z</dcterms:created>
  <dcterms:modified xsi:type="dcterms:W3CDTF">2023-06-25T16:29:10Z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