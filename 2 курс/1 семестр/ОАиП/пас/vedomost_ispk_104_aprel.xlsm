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3D1A710C-6663-3D7B-7F91-EC182F24A4BC}"/>
  <workbookPr codeName="ЭтаКнига"/>
  <bookViews>
    <workbookView xWindow="0" yWindow="0" windowWidth="18996" windowHeight="9060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Посещаемость!$A$1:$BI$50</definedName>
    <definedName name="_xlnm.Print_Area" localSheetId="0">Успеваемость!$A$1:$Q$68</definedName>
  </definedNames>
  <calcPr calcId="125725"/>
</workbook>
</file>

<file path=xl/calcChain.xml><?xml version="1.0" encoding="utf-8"?>
<calcChain xmlns="http://schemas.openxmlformats.org/spreadsheetml/2006/main">
  <c r="C43" i="3"/>
  <c r="A43" i="5"/>
  <c r="A44"/>
  <c r="A45"/>
  <c r="A36"/>
  <c r="A37"/>
  <c r="A38"/>
  <c r="A39"/>
  <c r="A40"/>
  <c r="A41"/>
  <c r="A42"/>
  <c r="A35"/>
  <c r="AE6" l="1"/>
  <c r="B15"/>
  <c r="B42" l="1"/>
  <c r="BF42" s="1"/>
  <c r="B43"/>
  <c r="BH43" s="1"/>
  <c r="B44"/>
  <c r="BF44" s="1"/>
  <c r="B45"/>
  <c r="R12" i="3"/>
  <c r="S12"/>
  <c r="U12"/>
  <c r="X12"/>
  <c r="B16" i="5"/>
  <c r="BF16" s="1"/>
  <c r="B17"/>
  <c r="BF17" s="1"/>
  <c r="B18"/>
  <c r="BF18" s="1"/>
  <c r="B19"/>
  <c r="BF19" s="1"/>
  <c r="B20"/>
  <c r="BF20" s="1"/>
  <c r="B21"/>
  <c r="BF21" s="1"/>
  <c r="B22"/>
  <c r="BF22" s="1"/>
  <c r="B23"/>
  <c r="BF23" s="1"/>
  <c r="B24"/>
  <c r="BF24" s="1"/>
  <c r="B25"/>
  <c r="BF25" s="1"/>
  <c r="B26"/>
  <c r="BF26" s="1"/>
  <c r="B27"/>
  <c r="BF27" s="1"/>
  <c r="B28"/>
  <c r="BF28" s="1"/>
  <c r="B29"/>
  <c r="BF29" s="1"/>
  <c r="B30"/>
  <c r="BF30" s="1"/>
  <c r="B31"/>
  <c r="BF31" s="1"/>
  <c r="B32"/>
  <c r="BF32" s="1"/>
  <c r="B33"/>
  <c r="BG33" s="1"/>
  <c r="B34"/>
  <c r="BG34" s="1"/>
  <c r="B35"/>
  <c r="BF35" s="1"/>
  <c r="B36"/>
  <c r="BF36" s="1"/>
  <c r="B37"/>
  <c r="BF37" s="1"/>
  <c r="B38"/>
  <c r="BH38" s="1"/>
  <c r="B39"/>
  <c r="BF39" s="1"/>
  <c r="B40"/>
  <c r="BG40" s="1"/>
  <c r="B41"/>
  <c r="BG41" s="1"/>
  <c r="R13" i="3"/>
  <c r="S13"/>
  <c r="U13"/>
  <c r="X13"/>
  <c r="R14"/>
  <c r="S14"/>
  <c r="U14"/>
  <c r="X14"/>
  <c r="R15"/>
  <c r="S15"/>
  <c r="U15"/>
  <c r="X15"/>
  <c r="R16"/>
  <c r="S16"/>
  <c r="U16"/>
  <c r="X16"/>
  <c r="R17"/>
  <c r="S17"/>
  <c r="U17"/>
  <c r="X17"/>
  <c r="R18"/>
  <c r="S18"/>
  <c r="U18"/>
  <c r="X18"/>
  <c r="R19"/>
  <c r="S19"/>
  <c r="U19"/>
  <c r="X19"/>
  <c r="R20"/>
  <c r="S20"/>
  <c r="U20"/>
  <c r="X20"/>
  <c r="R21"/>
  <c r="S21"/>
  <c r="U21"/>
  <c r="X21"/>
  <c r="R22"/>
  <c r="S22"/>
  <c r="U22"/>
  <c r="X22"/>
  <c r="R23"/>
  <c r="S23"/>
  <c r="U23"/>
  <c r="X23"/>
  <c r="R24"/>
  <c r="S24"/>
  <c r="U24"/>
  <c r="X24"/>
  <c r="R25"/>
  <c r="S25"/>
  <c r="U25"/>
  <c r="X25"/>
  <c r="R26"/>
  <c r="S26"/>
  <c r="U26"/>
  <c r="X26"/>
  <c r="R27"/>
  <c r="S27"/>
  <c r="U27"/>
  <c r="X27"/>
  <c r="R28"/>
  <c r="S28"/>
  <c r="U28"/>
  <c r="X28"/>
  <c r="R29"/>
  <c r="S29"/>
  <c r="U29"/>
  <c r="X29"/>
  <c r="R30"/>
  <c r="S30"/>
  <c r="U30"/>
  <c r="X30"/>
  <c r="R31"/>
  <c r="S31"/>
  <c r="U31"/>
  <c r="X31"/>
  <c r="R32"/>
  <c r="S32"/>
  <c r="U32"/>
  <c r="X32"/>
  <c r="R33"/>
  <c r="S33"/>
  <c r="U33"/>
  <c r="X33"/>
  <c r="R34"/>
  <c r="S34"/>
  <c r="U34"/>
  <c r="X34"/>
  <c r="R35"/>
  <c r="S35"/>
  <c r="U35"/>
  <c r="X35"/>
  <c r="R36"/>
  <c r="S36"/>
  <c r="U36"/>
  <c r="X36"/>
  <c r="R37"/>
  <c r="S37"/>
  <c r="U37"/>
  <c r="X37"/>
  <c r="R38"/>
  <c r="S38"/>
  <c r="U38"/>
  <c r="X38"/>
  <c r="R39"/>
  <c r="S39"/>
  <c r="U39"/>
  <c r="X39"/>
  <c r="R40"/>
  <c r="S40"/>
  <c r="U40"/>
  <c r="X40"/>
  <c r="R41"/>
  <c r="S41"/>
  <c r="U41"/>
  <c r="X41"/>
  <c r="R42"/>
  <c r="S42"/>
  <c r="U42"/>
  <c r="X42"/>
  <c r="C50"/>
  <c r="A22" i="6"/>
  <c r="H22" s="1"/>
  <c r="A21"/>
  <c r="H21" s="1"/>
  <c r="A20"/>
  <c r="H20" s="1"/>
  <c r="A19"/>
  <c r="H19" s="1"/>
  <c r="A18"/>
  <c r="H18" s="1"/>
  <c r="A17"/>
  <c r="H17" s="1"/>
  <c r="A16"/>
  <c r="H16" s="1"/>
  <c r="A15"/>
  <c r="H15" s="1"/>
  <c r="A14"/>
  <c r="H14" s="1"/>
  <c r="A13"/>
  <c r="H13" s="1"/>
  <c r="A12"/>
  <c r="H12" s="1"/>
  <c r="A11"/>
  <c r="H11" s="1"/>
  <c r="A10"/>
  <c r="H10" s="1"/>
  <c r="B6"/>
  <c r="B7"/>
  <c r="D3"/>
  <c r="C3"/>
  <c r="B23" s="1"/>
  <c r="AI6" i="5"/>
  <c r="A8"/>
  <c r="D43" i="3"/>
  <c r="E43"/>
  <c r="BF15" i="5"/>
  <c r="A29"/>
  <c r="A30"/>
  <c r="A31"/>
  <c r="A32"/>
  <c r="A33"/>
  <c r="A34"/>
  <c r="D44" i="3"/>
  <c r="E44"/>
  <c r="F44"/>
  <c r="G44"/>
  <c r="H44"/>
  <c r="I44"/>
  <c r="J44"/>
  <c r="K44"/>
  <c r="L44"/>
  <c r="M44"/>
  <c r="N44"/>
  <c r="O44"/>
  <c r="D45"/>
  <c r="E45"/>
  <c r="F45"/>
  <c r="G45"/>
  <c r="H45"/>
  <c r="I45"/>
  <c r="J45"/>
  <c r="K45"/>
  <c r="L45"/>
  <c r="M45"/>
  <c r="N45"/>
  <c r="O45"/>
  <c r="D46"/>
  <c r="E46"/>
  <c r="F46"/>
  <c r="G46"/>
  <c r="H46"/>
  <c r="I46"/>
  <c r="J46"/>
  <c r="K46"/>
  <c r="L46"/>
  <c r="M46"/>
  <c r="N46"/>
  <c r="O46"/>
  <c r="BF45" i="5" l="1"/>
  <c r="BG45"/>
  <c r="BH44"/>
  <c r="BG43"/>
  <c r="BH45"/>
  <c r="BG44"/>
  <c r="BF43"/>
  <c r="BH42"/>
  <c r="BG42"/>
  <c r="BG15"/>
  <c r="BF34"/>
  <c r="BF33"/>
  <c r="BH16"/>
  <c r="BF41"/>
  <c r="BF40"/>
  <c r="BG37"/>
  <c r="BG38"/>
  <c r="BH35"/>
  <c r="BH40"/>
  <c r="BF38"/>
  <c r="BG35"/>
  <c r="BH33"/>
  <c r="BG16"/>
  <c r="BH37"/>
  <c r="BH39"/>
  <c r="BH32"/>
  <c r="BG39"/>
  <c r="BH36"/>
  <c r="BG32"/>
  <c r="BH41"/>
  <c r="BG36"/>
  <c r="BH34"/>
  <c r="BG22"/>
  <c r="BH31"/>
  <c r="BG31"/>
  <c r="BH30"/>
  <c r="BG30"/>
  <c r="BH29"/>
  <c r="BG29"/>
  <c r="BH28"/>
  <c r="BG28"/>
  <c r="BH27"/>
  <c r="BG27"/>
  <c r="BG26"/>
  <c r="BH26"/>
  <c r="BH25"/>
  <c r="BG25"/>
  <c r="BH24"/>
  <c r="BG24"/>
  <c r="BH23"/>
  <c r="BG23"/>
  <c r="BH22"/>
  <c r="BH21"/>
  <c r="BG21"/>
  <c r="BH20"/>
  <c r="BG20"/>
  <c r="BH19"/>
  <c r="BG19"/>
  <c r="BH18"/>
  <c r="BG18"/>
  <c r="BH17"/>
  <c r="BG17"/>
  <c r="G43" i="3"/>
  <c r="G47" s="1"/>
  <c r="BH15" i="5"/>
  <c r="F43" i="3"/>
  <c r="F47" s="1"/>
  <c r="E47"/>
  <c r="D47"/>
  <c r="G50" i="5" l="1"/>
  <c r="G49"/>
  <c r="G47"/>
  <c r="G48" s="1"/>
  <c r="A16"/>
  <c r="A17"/>
  <c r="A18"/>
  <c r="A19"/>
  <c r="A20"/>
  <c r="A21"/>
  <c r="A22"/>
  <c r="A23"/>
  <c r="A24"/>
  <c r="A25"/>
  <c r="A26"/>
  <c r="A27"/>
  <c r="A28"/>
  <c r="A15"/>
  <c r="F48" i="3" l="1"/>
  <c r="D49"/>
  <c r="G48"/>
  <c r="F49"/>
  <c r="G49"/>
  <c r="E48"/>
  <c r="D48"/>
  <c r="E49"/>
  <c r="R11"/>
  <c r="Z35" l="1"/>
  <c r="Z39"/>
  <c r="Z42"/>
  <c r="Z33"/>
  <c r="Z37"/>
  <c r="Z40"/>
  <c r="Z31"/>
  <c r="Z34"/>
  <c r="Z38"/>
  <c r="Z41"/>
  <c r="Z32"/>
  <c r="Z36"/>
  <c r="Z30"/>
  <c r="Z29"/>
  <c r="Z14"/>
  <c r="Z15"/>
  <c r="V25"/>
  <c r="V29"/>
  <c r="T33"/>
  <c r="Y40"/>
  <c r="Z13"/>
  <c r="W23"/>
  <c r="V28"/>
  <c r="W17"/>
  <c r="W31"/>
  <c r="W25"/>
  <c r="T37"/>
  <c r="T38"/>
  <c r="Z19"/>
  <c r="Z24"/>
  <c r="T27"/>
  <c r="Z12"/>
  <c r="V16"/>
  <c r="Z18"/>
  <c r="Y26"/>
  <c r="Z16"/>
  <c r="Z22"/>
  <c r="Z23"/>
  <c r="V35"/>
  <c r="T40"/>
  <c r="Y14"/>
  <c r="T19"/>
  <c r="Z27"/>
  <c r="V13"/>
  <c r="W15"/>
  <c r="V20"/>
  <c r="T23"/>
  <c r="V24"/>
  <c r="Z26"/>
  <c r="W37"/>
  <c r="V42"/>
  <c r="Y30"/>
  <c r="Y15"/>
  <c r="Y31"/>
  <c r="W20"/>
  <c r="T13"/>
  <c r="W41"/>
  <c r="Y34"/>
  <c r="W27"/>
  <c r="V33"/>
  <c r="T30"/>
  <c r="Z28"/>
  <c r="Y36"/>
  <c r="Y17"/>
  <c r="T32"/>
  <c r="Y35"/>
  <c r="V41"/>
  <c r="W24"/>
  <c r="V31"/>
  <c r="T31"/>
  <c r="T18"/>
  <c r="Y22"/>
  <c r="W19"/>
  <c r="T22"/>
  <c r="W13"/>
  <c r="W35"/>
  <c r="W28"/>
  <c r="Y24"/>
  <c r="W18"/>
  <c r="T21"/>
  <c r="Y42"/>
  <c r="Y21"/>
  <c r="Z21"/>
  <c r="Z20"/>
  <c r="T29"/>
  <c r="T17"/>
  <c r="Y33"/>
  <c r="Y13"/>
  <c r="V38"/>
  <c r="Y18"/>
  <c r="Y16"/>
  <c r="Y12"/>
  <c r="V30"/>
  <c r="Y41"/>
  <c r="W21"/>
  <c r="V19"/>
  <c r="V18"/>
  <c r="Y32"/>
  <c r="T35"/>
  <c r="W38"/>
  <c r="V39"/>
  <c r="W40"/>
  <c r="W26"/>
  <c r="T28"/>
  <c r="Y19"/>
  <c r="W29"/>
  <c r="Z17"/>
  <c r="V36"/>
  <c r="V23"/>
  <c r="V32"/>
  <c r="V40"/>
  <c r="W32"/>
  <c r="Y38"/>
  <c r="V34"/>
  <c r="Y23"/>
  <c r="Y27"/>
  <c r="Y28"/>
  <c r="T39"/>
  <c r="Y20"/>
  <c r="T26"/>
  <c r="V15"/>
  <c r="T36"/>
  <c r="W33"/>
  <c r="T20"/>
  <c r="V14"/>
  <c r="V12"/>
  <c r="W36"/>
  <c r="T41"/>
  <c r="V21"/>
  <c r="T15"/>
  <c r="W39"/>
  <c r="W16"/>
  <c r="V22"/>
  <c r="V27"/>
  <c r="W34"/>
  <c r="T14"/>
  <c r="T24"/>
  <c r="T16"/>
  <c r="T42"/>
  <c r="T12"/>
  <c r="T25"/>
  <c r="W30"/>
  <c r="W12"/>
  <c r="Y29"/>
  <c r="Z25"/>
  <c r="T34"/>
  <c r="V17"/>
  <c r="W22"/>
  <c r="Y37"/>
  <c r="W14"/>
  <c r="Y39"/>
  <c r="Y25"/>
  <c r="V26"/>
  <c r="W42"/>
  <c r="V37"/>
  <c r="H24" i="6" l="1"/>
  <c r="C46" i="3"/>
  <c r="C45"/>
  <c r="C44"/>
  <c r="C47" l="1"/>
  <c r="H25" i="6"/>
  <c r="C48" i="3"/>
  <c r="C49"/>
  <c r="C51"/>
  <c r="D56" l="1"/>
  <c r="D52"/>
  <c r="N43"/>
  <c r="I43"/>
  <c r="M43"/>
  <c r="J43"/>
  <c r="O43"/>
  <c r="L43"/>
  <c r="K43"/>
  <c r="H43"/>
  <c r="D54"/>
  <c r="D58"/>
  <c r="D57"/>
  <c r="D55"/>
  <c r="O47" l="1"/>
  <c r="O49"/>
  <c r="O48"/>
  <c r="J47"/>
  <c r="J49"/>
  <c r="J48"/>
  <c r="M47"/>
  <c r="M49"/>
  <c r="M48"/>
  <c r="I47"/>
  <c r="I49"/>
  <c r="I48"/>
  <c r="L47"/>
  <c r="L49"/>
  <c r="L48"/>
  <c r="N47"/>
  <c r="N48"/>
  <c r="N49"/>
  <c r="H47"/>
  <c r="H49"/>
  <c r="H48"/>
  <c r="K47"/>
  <c r="K48"/>
  <c r="K49"/>
  <c r="D53"/>
</calcChain>
</file>

<file path=xl/sharedStrings.xml><?xml version="1.0" encoding="utf-8"?>
<sst xmlns="http://schemas.openxmlformats.org/spreadsheetml/2006/main" count="271" uniqueCount="114">
  <si>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</si>
  <si>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</si>
  <si>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</si>
  <si>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</si>
  <si>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</si>
  <si>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</si>
  <si>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</si>
  <si>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</si>
  <si>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</si>
  <si>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</si>
  <si>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</si>
  <si>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</si>
  <si>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</si>
  <si>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</si>
  <si>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</si>
  <si>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</si>
  <si>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</si>
  <si>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</si>
  <si>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</si>
  <si>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</si>
  <si>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</si>
  <si>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</si>
  <si>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</si>
  <si>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</si>
  <si>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</si>
  <si>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</si>
  <si>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</si>
  <si>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</si>
  <si>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</si>
  <si>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</si>
  <si>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</si>
  <si>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</si>
  <si>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</si>
  <si>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</si>
  <si>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</si>
  <si>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</si>
  <si>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</si>
  <si>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</si>
  <si>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</si>
  <si>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</si>
  <si>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</si>
  <si>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</si>
  <si>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</si>
  <si>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</si>
  <si>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</si>
  <si>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</si>
  <si>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</si>
  <si>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</si>
  <si>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</si>
  <si>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</si>
  <si>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</si>
  <si>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</si>
  <si>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</si>
  <si>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</si>
  <si>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</si>
  <si>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</si>
  <si>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</si>
  <si>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за</t>
  </si>
  <si>
    <t>История</t>
  </si>
  <si>
    <t>Иностранный язык</t>
  </si>
  <si>
    <t>Физическая культура</t>
  </si>
  <si>
    <t>2022-2023 УЧЕБНОГО ГОДА</t>
  </si>
  <si>
    <t>Алембаев Артём Сергеевич</t>
  </si>
  <si>
    <t>Алиев Тимур Русланович</t>
  </si>
  <si>
    <t>Бессонова Анастасия Александровна</t>
  </si>
  <si>
    <t>Бузмакова Анастасия Романовна</t>
  </si>
  <si>
    <t>Вейс Роман Михайлович</t>
  </si>
  <si>
    <t>Зотова Анастасия Викторовна</t>
  </si>
  <si>
    <t>Зырянов Константин Сергеевич</t>
  </si>
  <si>
    <t>Исупов Максим Олегович</t>
  </si>
  <si>
    <t>Колобов Александр Алексеевич</t>
  </si>
  <si>
    <t>Кононов Степан Андреевич</t>
  </si>
  <si>
    <t>Корзунин Евгений Сергеевич</t>
  </si>
  <si>
    <t>Кривошеин Дмитрий Васильевич</t>
  </si>
  <si>
    <t>Куковеров Никита Анатольевич</t>
  </si>
  <si>
    <t>Лаптев Дмитрий Андреевич</t>
  </si>
  <si>
    <t>Никулин Арсений Игоревич</t>
  </si>
  <si>
    <t>Огородников Никита Михайлович</t>
  </si>
  <si>
    <t>Панкратов Никита Владимирович</t>
  </si>
  <si>
    <t>Садакова Анна Алексеевна</t>
  </si>
  <si>
    <t>Русакова Ксения Евгеньевна</t>
  </si>
  <si>
    <t>Усков Дмитрий Сергеевич</t>
  </si>
  <si>
    <t>Утёмова Ксения Александровна</t>
  </si>
  <si>
    <t>Федяев Никита Юрьевич</t>
  </si>
  <si>
    <t>Черный Даниил Олегович</t>
  </si>
  <si>
    <t>Чупраков Денис Сергеевич</t>
  </si>
  <si>
    <t>Шаклеин Арсений Вадимович</t>
  </si>
  <si>
    <t>Беляев Макар Леонидович</t>
  </si>
  <si>
    <t>Бильчук Максим Алексеевич</t>
  </si>
  <si>
    <t>Гудин Евгений Андреевич</t>
  </si>
  <si>
    <t>Конышев Иван Сергеевич</t>
  </si>
  <si>
    <t>Котанджян Валерий Каренович</t>
  </si>
  <si>
    <t>Русский язык</t>
  </si>
  <si>
    <t>Литература</t>
  </si>
  <si>
    <t xml:space="preserve">Математика </t>
  </si>
  <si>
    <t>Основы безопасности жизнедеятельности</t>
  </si>
  <si>
    <t xml:space="preserve">Информатика </t>
  </si>
  <si>
    <t>Физика</t>
  </si>
  <si>
    <t xml:space="preserve"> </t>
  </si>
  <si>
    <t>Группа ИСПк-104/107-52-00</t>
  </si>
  <si>
    <t>Прыщенко Арсений Алексеевич</t>
  </si>
  <si>
    <t>Основы проектной деятельности</t>
  </si>
  <si>
    <t>Гниенко А.А.</t>
  </si>
  <si>
    <t>н/а</t>
  </si>
  <si>
    <t>Чупраков Денис Сергеевич болеет часто</t>
  </si>
  <si>
    <t>Огородников Никита Михайлович болезнь</t>
  </si>
  <si>
    <t>Садакова Анна Алексеевна болезнь</t>
  </si>
  <si>
    <t xml:space="preserve">Алембаев Артём Сергеевич болезнь </t>
  </si>
  <si>
    <t xml:space="preserve">Алиев Тимур Русланович  болезнь </t>
  </si>
  <si>
    <t>родной язык</t>
  </si>
  <si>
    <t xml:space="preserve">Кривошеин Дмитрий Васильевич болезнь </t>
  </si>
  <si>
    <t>Никулин Арсений Игоревич болезнь</t>
  </si>
  <si>
    <t xml:space="preserve">Черный Даниил Олегович болезнь </t>
  </si>
  <si>
    <t>апрель</t>
  </si>
</sst>
</file>

<file path=xl/styles.xml><?xml version="1.0" encoding="utf-8"?>
<styleSheet xmlns="http://schemas.openxmlformats.org/spreadsheetml/2006/main">
  <fonts count="40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2"/>
      <color rgb="FF000000"/>
      <name val="Calibri"/>
      <family val="2"/>
      <charset val="204"/>
      <scheme val="minor"/>
    </font>
    <font>
      <i/>
      <sz val="10"/>
      <color rgb="FF000000"/>
      <name val="Times New Roman"/>
      <family val="1"/>
      <charset val="204"/>
    </font>
    <font>
      <sz val="16"/>
      <color rgb="FF00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22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4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7" fillId="0" borderId="0" xfId="0" applyFont="1" applyAlignment="1">
      <alignment vertical="center"/>
    </xf>
    <xf numFmtId="0" fontId="27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29" fillId="2" borderId="0" xfId="0" applyFont="1" applyFill="1"/>
    <xf numFmtId="0" fontId="29" fillId="0" borderId="0" xfId="0" applyFont="1"/>
    <xf numFmtId="0" fontId="29" fillId="2" borderId="0" xfId="0" applyFont="1" applyFill="1" applyAlignment="1">
      <alignment horizontal="center" readingOrder="1"/>
    </xf>
    <xf numFmtId="0" fontId="29" fillId="0" borderId="0" xfId="0" applyFont="1" applyAlignment="1">
      <alignment horizontal="center" readingOrder="1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21" xfId="0" applyFont="1" applyFill="1" applyBorder="1" applyAlignment="1" applyProtection="1">
      <alignment horizontal="center" vertical="center" wrapText="1"/>
      <protection locked="0"/>
    </xf>
    <xf numFmtId="0" fontId="9" fillId="0" borderId="47" xfId="0" applyFont="1" applyBorder="1" applyAlignment="1">
      <alignment horizontal="center" vertical="center" wrapText="1"/>
    </xf>
    <xf numFmtId="0" fontId="28" fillId="0" borderId="0" xfId="3" applyFont="1" applyAlignment="1">
      <alignment horizontal="center" wrapText="1"/>
    </xf>
    <xf numFmtId="0" fontId="30" fillId="0" borderId="0" xfId="3" applyFont="1"/>
    <xf numFmtId="0" fontId="28" fillId="0" borderId="0" xfId="3" applyFont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9" fillId="0" borderId="24" xfId="1" applyFont="1" applyBorder="1" applyAlignment="1">
      <alignment horizontal="center" textRotation="90" wrapText="1" readingOrder="1"/>
    </xf>
    <xf numFmtId="0" fontId="4" fillId="2" borderId="15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31" fillId="0" borderId="0" xfId="0" applyFont="1" applyAlignment="1">
      <alignment textRotation="90" wrapText="1"/>
    </xf>
    <xf numFmtId="0" fontId="15" fillId="0" borderId="28" xfId="0" applyFont="1" applyBorder="1" applyAlignment="1">
      <alignment vertical="center" wrapText="1"/>
    </xf>
    <xf numFmtId="0" fontId="15" fillId="0" borderId="15" xfId="0" applyFont="1" applyBorder="1" applyAlignment="1">
      <alignment vertical="center" wrapText="1"/>
    </xf>
    <xf numFmtId="0" fontId="33" fillId="0" borderId="15" xfId="0" applyFont="1" applyBorder="1"/>
    <xf numFmtId="0" fontId="33" fillId="0" borderId="48" xfId="0" applyFont="1" applyBorder="1"/>
    <xf numFmtId="0" fontId="15" fillId="0" borderId="15" xfId="0" applyFont="1" applyBorder="1"/>
    <xf numFmtId="0" fontId="15" fillId="0" borderId="48" xfId="0" applyFont="1" applyBorder="1"/>
    <xf numFmtId="0" fontId="11" fillId="0" borderId="15" xfId="0" applyFont="1" applyBorder="1"/>
    <xf numFmtId="49" fontId="34" fillId="2" borderId="15" xfId="0" applyNumberFormat="1" applyFont="1" applyFill="1" applyBorder="1" applyAlignment="1">
      <alignment vertical="center" wrapText="1"/>
    </xf>
    <xf numFmtId="0" fontId="32" fillId="0" borderId="1" xfId="0" applyFont="1" applyBorder="1" applyAlignment="1">
      <alignment horizontal="center"/>
    </xf>
    <xf numFmtId="0" fontId="32" fillId="0" borderId="44" xfId="0" applyFont="1" applyBorder="1" applyAlignment="1">
      <alignment horizontal="center"/>
    </xf>
    <xf numFmtId="0" fontId="32" fillId="0" borderId="51" xfId="0" applyFont="1" applyBorder="1" applyAlignment="1">
      <alignment horizontal="center"/>
    </xf>
    <xf numFmtId="0" fontId="32" fillId="0" borderId="53" xfId="0" applyFont="1" applyBorder="1" applyAlignment="1">
      <alignment horizontal="center"/>
    </xf>
    <xf numFmtId="0" fontId="32" fillId="0" borderId="54" xfId="0" applyFont="1" applyBorder="1" applyAlignment="1">
      <alignment horizontal="center"/>
    </xf>
    <xf numFmtId="0" fontId="35" fillId="2" borderId="15" xfId="0" applyFont="1" applyFill="1" applyBorder="1" applyAlignment="1">
      <alignment horizontal="center" vertical="center" wrapText="1"/>
    </xf>
    <xf numFmtId="0" fontId="36" fillId="0" borderId="48" xfId="0" applyFont="1" applyBorder="1" applyAlignment="1">
      <alignment vertical="center" wrapText="1"/>
    </xf>
    <xf numFmtId="0" fontId="37" fillId="0" borderId="1" xfId="0" applyFont="1" applyBorder="1" applyAlignment="1">
      <alignment horizontal="center"/>
    </xf>
    <xf numFmtId="0" fontId="35" fillId="2" borderId="1" xfId="0" applyFont="1" applyFill="1" applyBorder="1" applyAlignment="1" applyProtection="1">
      <alignment horizontal="center" vertical="center" wrapText="1"/>
      <protection locked="0"/>
    </xf>
    <xf numFmtId="0" fontId="36" fillId="0" borderId="15" xfId="0" applyFont="1" applyBorder="1" applyAlignment="1">
      <alignment vertical="center" wrapText="1"/>
    </xf>
    <xf numFmtId="0" fontId="38" fillId="0" borderId="15" xfId="0" applyFont="1" applyBorder="1"/>
    <xf numFmtId="0" fontId="36" fillId="0" borderId="15" xfId="0" applyFont="1" applyBorder="1"/>
    <xf numFmtId="0" fontId="35" fillId="2" borderId="6" xfId="0" applyFont="1" applyFill="1" applyBorder="1" applyAlignment="1" applyProtection="1">
      <alignment horizontal="center" vertical="center" wrapText="1"/>
      <protection locked="0"/>
    </xf>
    <xf numFmtId="0" fontId="15" fillId="0" borderId="48" xfId="0" applyFont="1" applyBorder="1" applyAlignment="1">
      <alignment vertical="center" wrapText="1"/>
    </xf>
    <xf numFmtId="0" fontId="4" fillId="0" borderId="15" xfId="0" applyFont="1" applyBorder="1" applyAlignment="1">
      <alignment horizontal="right" vertical="center" wrapText="1"/>
    </xf>
    <xf numFmtId="0" fontId="4" fillId="0" borderId="19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left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7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8" fillId="0" borderId="14" xfId="0" applyFont="1" applyBorder="1" applyAlignment="1">
      <alignment horizontal="left" vertical="center" wrapText="1"/>
    </xf>
    <xf numFmtId="0" fontId="28" fillId="0" borderId="7" xfId="0" applyFont="1" applyBorder="1" applyAlignment="1">
      <alignment horizontal="left" vertical="center" wrapText="1"/>
    </xf>
    <xf numFmtId="0" fontId="28" fillId="0" borderId="8" xfId="0" applyFont="1" applyBorder="1" applyAlignment="1">
      <alignment horizontal="left" vertical="center" wrapText="1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18" fillId="0" borderId="0" xfId="3" applyFont="1" applyAlignment="1">
      <alignment horizontal="right"/>
    </xf>
    <xf numFmtId="0" fontId="23" fillId="0" borderId="0" xfId="3" applyFont="1" applyAlignment="1">
      <alignment horizontal="center"/>
    </xf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5" fillId="0" borderId="0" xfId="3" applyFont="1"/>
    <xf numFmtId="0" fontId="18" fillId="0" borderId="0" xfId="3" applyFont="1" applyAlignment="1">
      <alignment horizontal="left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7" xfId="3" applyFont="1" applyBorder="1" applyAlignment="1" applyProtection="1">
      <alignment horizontal="center" vertical="center"/>
      <protection locked="0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18" fillId="0" borderId="52" xfId="3" applyFont="1" applyBorder="1" applyAlignment="1">
      <alignment horizontal="center" vertical="center" textRotation="90" wrapText="1"/>
    </xf>
    <xf numFmtId="0" fontId="19" fillId="2" borderId="42" xfId="3" applyFont="1" applyFill="1" applyBorder="1" applyAlignment="1" applyProtection="1">
      <alignment horizontal="center" vertical="center"/>
      <protection locked="0"/>
    </xf>
    <xf numFmtId="0" fontId="19" fillId="2" borderId="17" xfId="3" applyFont="1" applyFill="1" applyBorder="1" applyAlignment="1" applyProtection="1">
      <alignment horizontal="center" vertical="center"/>
      <protection locked="0"/>
    </xf>
    <xf numFmtId="0" fontId="19" fillId="0" borderId="20" xfId="3" applyFont="1" applyBorder="1" applyAlignment="1" applyProtection="1">
      <alignment horizontal="center" vertical="center"/>
      <protection locked="0"/>
    </xf>
    <xf numFmtId="0" fontId="18" fillId="0" borderId="2" xfId="3" applyFont="1" applyBorder="1" applyAlignment="1" applyProtection="1">
      <alignment horizontal="center"/>
      <protection locked="0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3" borderId="0" xfId="3" applyFont="1" applyFill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3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6" xfId="3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2" xfId="0" applyFont="1" applyBorder="1" applyAlignment="1">
      <alignment horizontal="center" wrapText="1"/>
    </xf>
  </cellXfs>
  <cellStyles count="6">
    <cellStyle name="Обычный" xfId="0" builtinId="0"/>
    <cellStyle name="Обычный 2" xfId="3"/>
    <cellStyle name="Обычный 4" xfId="1"/>
    <cellStyle name="Процентный" xfId="2" builtinId="5"/>
    <cellStyle name="Процентный 2" xfId="4"/>
    <cellStyle name="Процентный 3" xfId="5"/>
  </cellStyles>
  <dxfs count="14"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ill>
        <patternFill>
          <bgColor rgb="FFFFE3AB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9" tint="0.39997558519241921"/>
    <pageSetUpPr fitToPage="1"/>
  </sheetPr>
  <dimension ref="A1:AE82"/>
  <sheetViews>
    <sheetView showGridLines="0" tabSelected="1" topLeftCell="A7" zoomScale="80" zoomScaleNormal="80" workbookViewId="0">
      <selection activeCell="M23" sqref="M23"/>
    </sheetView>
  </sheetViews>
  <sheetFormatPr defaultRowHeight="14.4"/>
  <cols>
    <col min="1" max="1" width="5.44140625" customWidth="1"/>
    <col min="2" max="2" width="32.4414062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1" ht="15.6">
      <c r="A1" s="155" t="s">
        <v>14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</row>
    <row r="2" spans="1:31">
      <c r="A2" s="156" t="s">
        <v>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</row>
    <row r="3" spans="1:31" ht="15.6">
      <c r="A3" s="157" t="s">
        <v>10</v>
      </c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</row>
    <row r="4" spans="1:31" ht="15.6">
      <c r="A4" s="158" t="s">
        <v>11</v>
      </c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</row>
    <row r="5" spans="1:31" ht="15.6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1" ht="15.6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1" ht="15.6">
      <c r="B7" s="79" t="s">
        <v>53</v>
      </c>
      <c r="D7" s="79"/>
      <c r="E7" s="79"/>
      <c r="G7" s="154" t="s">
        <v>113</v>
      </c>
      <c r="H7" s="154"/>
      <c r="I7" s="78" t="s">
        <v>61</v>
      </c>
      <c r="P7" s="51"/>
      <c r="Q7" s="51"/>
    </row>
    <row r="8" spans="1:31" ht="15.6">
      <c r="A8" s="165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</row>
    <row r="9" spans="1:31" ht="15.6">
      <c r="A9" s="159" t="s">
        <v>99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</row>
    <row r="10" spans="1:31" ht="16.5" customHeight="1" thickBot="1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8"/>
      <c r="T10" s="88"/>
      <c r="U10" s="88"/>
      <c r="V10" s="88"/>
      <c r="W10" s="88"/>
      <c r="X10" s="88"/>
      <c r="Y10" s="88"/>
      <c r="Z10" s="88"/>
    </row>
    <row r="11" spans="1:31" s="4" customFormat="1" ht="125.25" customHeight="1" thickBot="1">
      <c r="A11" s="69" t="s">
        <v>3</v>
      </c>
      <c r="B11" s="98" t="s">
        <v>2</v>
      </c>
      <c r="C11" s="105" t="s">
        <v>92</v>
      </c>
      <c r="D11" s="106" t="s">
        <v>93</v>
      </c>
      <c r="E11" s="106" t="s">
        <v>59</v>
      </c>
      <c r="F11" s="106" t="s">
        <v>94</v>
      </c>
      <c r="G11" s="106" t="s">
        <v>58</v>
      </c>
      <c r="H11" s="106" t="s">
        <v>60</v>
      </c>
      <c r="I11" s="106" t="s">
        <v>95</v>
      </c>
      <c r="J11" s="106" t="s">
        <v>96</v>
      </c>
      <c r="K11" s="106" t="s">
        <v>97</v>
      </c>
      <c r="L11" s="106" t="s">
        <v>101</v>
      </c>
      <c r="M11" s="106" t="s">
        <v>109</v>
      </c>
      <c r="N11" s="105"/>
      <c r="O11" s="107"/>
      <c r="P11" s="161" t="s">
        <v>13</v>
      </c>
      <c r="Q11" s="162"/>
      <c r="R11" s="23">
        <f>COUNTA(C11:O11)-COUNTIF(C12:O12," ")</f>
        <v>9</v>
      </c>
      <c r="S11" s="86" t="s">
        <v>26</v>
      </c>
      <c r="T11" s="87" t="s">
        <v>24</v>
      </c>
      <c r="U11" s="87">
        <v>5</v>
      </c>
      <c r="V11" s="87" t="s">
        <v>25</v>
      </c>
      <c r="W11" s="87" t="s">
        <v>27</v>
      </c>
      <c r="X11" s="87" t="s">
        <v>28</v>
      </c>
      <c r="Y11" s="87" t="s">
        <v>29</v>
      </c>
      <c r="Z11" s="87" t="s">
        <v>30</v>
      </c>
      <c r="AA11" s="110"/>
      <c r="AB11" s="110"/>
      <c r="AC11" s="110"/>
      <c r="AD11" s="110"/>
      <c r="AE11" s="110"/>
    </row>
    <row r="12" spans="1:31" ht="20.100000000000001" customHeight="1">
      <c r="A12" s="109">
        <v>1</v>
      </c>
      <c r="B12" s="111" t="s">
        <v>62</v>
      </c>
      <c r="C12" s="121"/>
      <c r="D12" s="96"/>
      <c r="E12" s="96">
        <v>4</v>
      </c>
      <c r="F12" s="96">
        <v>4</v>
      </c>
      <c r="G12" s="96" t="s">
        <v>103</v>
      </c>
      <c r="H12" s="96">
        <v>5</v>
      </c>
      <c r="I12" s="96">
        <v>4</v>
      </c>
      <c r="J12" s="96"/>
      <c r="K12" s="96">
        <v>4</v>
      </c>
      <c r="L12" s="96">
        <v>4</v>
      </c>
      <c r="M12" s="96">
        <v>3</v>
      </c>
      <c r="N12" s="96" t="s">
        <v>98</v>
      </c>
      <c r="O12" s="97" t="s">
        <v>98</v>
      </c>
      <c r="P12" s="163"/>
      <c r="Q12" s="164"/>
      <c r="R12" s="24">
        <f>COUNTIF(C12:O12,3)+COUNTIF(C12:O12,4)+COUNTIF(C12:O12,5)+COUNTIF(C12:O12,"зач.")+COUNTIF(C12:O12,"зачёт")+COUNTIF(C12:O12,"зачтено")</f>
        <v>7</v>
      </c>
      <c r="S12" s="88">
        <f>COUNTIF(C12:O12,4)+COUNTIF(C12:O12,5)+COUNTIF(C12:O12,"зач.")+COUNTIF(C12:O12,"зачёт")+COUNTIF(C12:O12,"зачтено")</f>
        <v>6</v>
      </c>
      <c r="T12" s="88">
        <f>IF(AND(R12=$R$11, B12&lt;&gt;"", COUNTA(C12:O12)=$R$11, $R$11&lt;&gt;0),1,0)</f>
        <v>0</v>
      </c>
      <c r="U12" s="88">
        <f>COUNTIF(C12:O12,5)+COUNTIF(C12:O12,"зач.")+COUNTIF(C12:O12,"зачёт")+COUNTIF(C12:O12,"зачтено")</f>
        <v>1</v>
      </c>
      <c r="V12" s="88">
        <f>IF(AND(U12=$R$11, $R$11&lt;&gt;0),1,0)</f>
        <v>0</v>
      </c>
      <c r="W12" s="88">
        <f>IF(AND(S12=$R$11, $R$11&lt;&gt;0),1,0)</f>
        <v>0</v>
      </c>
      <c r="X12" s="88">
        <f t="shared" ref="X12" si="0">COUNTIF(C12:O12,3)</f>
        <v>1</v>
      </c>
      <c r="Y12" s="88">
        <f>IF(AND(X12&lt;3,R12=$R$11,X12&gt;0),1,0)</f>
        <v>0</v>
      </c>
      <c r="Z12" s="88">
        <f t="shared" ref="Z12" si="1">IF(ISBLANK(B12), 0, $R$11-R12)</f>
        <v>2</v>
      </c>
      <c r="AD12" s="93"/>
      <c r="AE12" s="93"/>
    </row>
    <row r="13" spans="1:31" ht="20.100000000000001" customHeight="1">
      <c r="A13" s="108">
        <v>2</v>
      </c>
      <c r="B13" s="112" t="s">
        <v>63</v>
      </c>
      <c r="C13" s="119"/>
      <c r="D13" s="26"/>
      <c r="E13" s="26">
        <v>4</v>
      </c>
      <c r="F13" s="26">
        <v>4</v>
      </c>
      <c r="G13" s="26" t="s">
        <v>103</v>
      </c>
      <c r="H13" s="26">
        <v>5</v>
      </c>
      <c r="I13" s="26">
        <v>4</v>
      </c>
      <c r="J13" s="26"/>
      <c r="K13" s="26">
        <v>4</v>
      </c>
      <c r="L13" s="26">
        <v>4</v>
      </c>
      <c r="M13" s="96" t="s">
        <v>103</v>
      </c>
      <c r="N13" s="96" t="s">
        <v>98</v>
      </c>
      <c r="O13" s="97" t="s">
        <v>98</v>
      </c>
      <c r="P13" s="148"/>
      <c r="Q13" s="149"/>
      <c r="R13" s="24">
        <f t="shared" ref="R13:R42" si="2">COUNTIF(C13:O13,3)+COUNTIF(C13:O13,4)+COUNTIF(C13:O13,5)+COUNTIF(C13:O13,"зач.")+COUNTIF(C13:O13,"зачёт")+COUNTIF(C13:O13,"зачтено")</f>
        <v>6</v>
      </c>
      <c r="S13" s="88">
        <f t="shared" ref="S13:S42" si="3">COUNTIF(C13:O13,4)+COUNTIF(C13:O13,5)+COUNTIF(C13:O13,"зач.")+COUNTIF(C13:O13,"зачёт")+COUNTIF(C13:O13,"зачтено")</f>
        <v>6</v>
      </c>
      <c r="T13" s="88">
        <f t="shared" ref="T13:T42" si="4">IF(AND(R13=$R$11, B13&lt;&gt;"", COUNTA(C13:O13)=$R$11, $R$11&lt;&gt;0),1,0)</f>
        <v>0</v>
      </c>
      <c r="U13" s="88">
        <f t="shared" ref="U13:U42" si="5">COUNTIF(C13:O13,5)+COUNTIF(C13:O13,"зач.")+COUNTIF(C13:O13,"зачёт")+COUNTIF(C13:O13,"зачтено")</f>
        <v>1</v>
      </c>
      <c r="V13" s="88">
        <f t="shared" ref="V13:V42" si="6">IF(AND(U13=$R$11, $R$11&lt;&gt;0),1,0)</f>
        <v>0</v>
      </c>
      <c r="W13" s="88">
        <f t="shared" ref="W13:W42" si="7">IF(AND(S13=$R$11, $R$11&lt;&gt;0),1,0)</f>
        <v>0</v>
      </c>
      <c r="X13" s="88">
        <f t="shared" ref="X13:X42" si="8">COUNTIF(C13:O13,3)</f>
        <v>0</v>
      </c>
      <c r="Y13" s="88">
        <f t="shared" ref="Y13:Y42" si="9">IF(AND(X13&lt;3,R13=$R$11,X13&gt;0),1,0)</f>
        <v>0</v>
      </c>
      <c r="Z13" s="88">
        <f t="shared" ref="Z13:Z42" si="10">IF(ISBLANK(B13), 0, $R$11-R13)</f>
        <v>3</v>
      </c>
      <c r="AD13" s="93"/>
      <c r="AE13" s="93"/>
    </row>
    <row r="14" spans="1:31" ht="20.100000000000001" customHeight="1">
      <c r="A14" s="124">
        <v>3</v>
      </c>
      <c r="B14" s="125" t="s">
        <v>64</v>
      </c>
      <c r="C14" s="126"/>
      <c r="D14" s="127"/>
      <c r="E14" s="127">
        <v>5</v>
      </c>
      <c r="F14" s="127">
        <v>4</v>
      </c>
      <c r="G14" s="127">
        <v>5</v>
      </c>
      <c r="H14" s="127">
        <v>5</v>
      </c>
      <c r="I14" s="127">
        <v>3</v>
      </c>
      <c r="J14" s="127"/>
      <c r="K14" s="127">
        <v>4</v>
      </c>
      <c r="L14" s="127">
        <v>4</v>
      </c>
      <c r="M14" s="96">
        <v>4</v>
      </c>
      <c r="N14" s="96" t="s">
        <v>98</v>
      </c>
      <c r="O14" s="97" t="s">
        <v>98</v>
      </c>
      <c r="P14" s="146"/>
      <c r="Q14" s="147"/>
      <c r="R14" s="24">
        <f t="shared" si="2"/>
        <v>8</v>
      </c>
      <c r="S14" s="88">
        <f t="shared" si="3"/>
        <v>7</v>
      </c>
      <c r="T14" s="88">
        <f t="shared" si="4"/>
        <v>0</v>
      </c>
      <c r="U14" s="88">
        <f t="shared" si="5"/>
        <v>3</v>
      </c>
      <c r="V14" s="88">
        <f t="shared" si="6"/>
        <v>0</v>
      </c>
      <c r="W14" s="88">
        <f t="shared" si="7"/>
        <v>0</v>
      </c>
      <c r="X14" s="88">
        <f t="shared" si="8"/>
        <v>1</v>
      </c>
      <c r="Y14" s="88">
        <f t="shared" si="9"/>
        <v>0</v>
      </c>
      <c r="Z14" s="88">
        <f t="shared" si="10"/>
        <v>1</v>
      </c>
      <c r="AD14" s="93"/>
      <c r="AE14" s="93"/>
    </row>
    <row r="15" spans="1:31" ht="20.100000000000001" customHeight="1">
      <c r="A15" s="108">
        <v>4</v>
      </c>
      <c r="B15" s="112" t="s">
        <v>65</v>
      </c>
      <c r="C15" s="119"/>
      <c r="D15" s="26"/>
      <c r="E15" s="26">
        <v>4</v>
      </c>
      <c r="F15" s="26">
        <v>4</v>
      </c>
      <c r="G15" s="26" t="s">
        <v>103</v>
      </c>
      <c r="H15" s="26">
        <v>5</v>
      </c>
      <c r="I15" s="26"/>
      <c r="J15" s="26"/>
      <c r="K15" s="26">
        <v>4</v>
      </c>
      <c r="L15" s="26">
        <v>4</v>
      </c>
      <c r="M15" s="96">
        <v>3</v>
      </c>
      <c r="N15" s="96" t="s">
        <v>98</v>
      </c>
      <c r="O15" s="97" t="s">
        <v>98</v>
      </c>
      <c r="P15" s="146"/>
      <c r="Q15" s="147"/>
      <c r="R15" s="24">
        <f t="shared" si="2"/>
        <v>6</v>
      </c>
      <c r="S15" s="88">
        <f t="shared" si="3"/>
        <v>5</v>
      </c>
      <c r="T15" s="88">
        <f t="shared" si="4"/>
        <v>0</v>
      </c>
      <c r="U15" s="88">
        <f t="shared" si="5"/>
        <v>1</v>
      </c>
      <c r="V15" s="88">
        <f t="shared" si="6"/>
        <v>0</v>
      </c>
      <c r="W15" s="88">
        <f t="shared" si="7"/>
        <v>0</v>
      </c>
      <c r="X15" s="88">
        <f t="shared" si="8"/>
        <v>1</v>
      </c>
      <c r="Y15" s="88">
        <f t="shared" si="9"/>
        <v>0</v>
      </c>
      <c r="Z15" s="88">
        <f t="shared" si="10"/>
        <v>3</v>
      </c>
      <c r="AD15" s="93"/>
      <c r="AE15" s="93"/>
    </row>
    <row r="16" spans="1:31" ht="20.100000000000001" customHeight="1">
      <c r="A16" s="108">
        <v>5</v>
      </c>
      <c r="B16" s="112" t="s">
        <v>66</v>
      </c>
      <c r="C16" s="119"/>
      <c r="D16" s="26"/>
      <c r="E16" s="26">
        <v>4</v>
      </c>
      <c r="F16" s="26">
        <v>4</v>
      </c>
      <c r="G16" s="26">
        <v>5</v>
      </c>
      <c r="H16" s="26">
        <v>5</v>
      </c>
      <c r="I16" s="26">
        <v>4</v>
      </c>
      <c r="J16" s="26"/>
      <c r="K16" s="26"/>
      <c r="L16" s="26">
        <v>4</v>
      </c>
      <c r="M16" s="96">
        <v>4</v>
      </c>
      <c r="N16" s="96" t="s">
        <v>98</v>
      </c>
      <c r="O16" s="97" t="s">
        <v>98</v>
      </c>
      <c r="P16" s="146"/>
      <c r="Q16" s="147"/>
      <c r="R16" s="24">
        <f t="shared" si="2"/>
        <v>7</v>
      </c>
      <c r="S16" s="88">
        <f t="shared" si="3"/>
        <v>7</v>
      </c>
      <c r="T16" s="88">
        <f t="shared" si="4"/>
        <v>0</v>
      </c>
      <c r="U16" s="88">
        <f t="shared" si="5"/>
        <v>2</v>
      </c>
      <c r="V16" s="88">
        <f t="shared" si="6"/>
        <v>0</v>
      </c>
      <c r="W16" s="88">
        <f t="shared" si="7"/>
        <v>0</v>
      </c>
      <c r="X16" s="88">
        <f t="shared" si="8"/>
        <v>0</v>
      </c>
      <c r="Y16" s="88">
        <f t="shared" si="9"/>
        <v>0</v>
      </c>
      <c r="Z16" s="88">
        <f t="shared" si="10"/>
        <v>2</v>
      </c>
      <c r="AD16" s="93"/>
      <c r="AE16" s="93"/>
    </row>
    <row r="17" spans="1:31" ht="19.5" customHeight="1">
      <c r="A17" s="124">
        <v>6</v>
      </c>
      <c r="B17" s="128" t="s">
        <v>67</v>
      </c>
      <c r="C17" s="126"/>
      <c r="D17" s="127"/>
      <c r="E17" s="127">
        <v>4</v>
      </c>
      <c r="F17" s="127">
        <v>5</v>
      </c>
      <c r="G17" s="127">
        <v>5</v>
      </c>
      <c r="H17" s="127">
        <v>4</v>
      </c>
      <c r="I17" s="127">
        <v>4</v>
      </c>
      <c r="J17" s="127"/>
      <c r="K17" s="127">
        <v>5</v>
      </c>
      <c r="L17" s="127">
        <v>5</v>
      </c>
      <c r="M17" s="96">
        <v>4</v>
      </c>
      <c r="N17" s="96" t="s">
        <v>98</v>
      </c>
      <c r="O17" s="97" t="s">
        <v>98</v>
      </c>
      <c r="P17" s="146"/>
      <c r="Q17" s="147"/>
      <c r="R17" s="24">
        <f t="shared" si="2"/>
        <v>8</v>
      </c>
      <c r="S17" s="88">
        <f t="shared" si="3"/>
        <v>8</v>
      </c>
      <c r="T17" s="88">
        <f t="shared" si="4"/>
        <v>0</v>
      </c>
      <c r="U17" s="88">
        <f t="shared" si="5"/>
        <v>4</v>
      </c>
      <c r="V17" s="88">
        <f t="shared" si="6"/>
        <v>0</v>
      </c>
      <c r="W17" s="88">
        <f t="shared" si="7"/>
        <v>0</v>
      </c>
      <c r="X17" s="88">
        <f t="shared" si="8"/>
        <v>0</v>
      </c>
      <c r="Y17" s="88">
        <f t="shared" si="9"/>
        <v>0</v>
      </c>
      <c r="Z17" s="88">
        <f t="shared" si="10"/>
        <v>1</v>
      </c>
      <c r="AD17" s="93"/>
      <c r="AE17" s="93"/>
    </row>
    <row r="18" spans="1:31" ht="20.100000000000001" customHeight="1">
      <c r="A18" s="108">
        <v>7</v>
      </c>
      <c r="B18" s="112" t="s">
        <v>68</v>
      </c>
      <c r="C18" s="119"/>
      <c r="D18" s="26"/>
      <c r="E18" s="26">
        <v>4</v>
      </c>
      <c r="F18" s="26">
        <v>4</v>
      </c>
      <c r="G18" s="26">
        <v>4</v>
      </c>
      <c r="H18" s="26">
        <v>5</v>
      </c>
      <c r="I18" s="26">
        <v>4</v>
      </c>
      <c r="J18" s="26"/>
      <c r="K18" s="26">
        <v>3</v>
      </c>
      <c r="L18" s="26">
        <v>4</v>
      </c>
      <c r="M18" s="96">
        <v>4</v>
      </c>
      <c r="N18" s="96" t="s">
        <v>98</v>
      </c>
      <c r="O18" s="97" t="s">
        <v>98</v>
      </c>
      <c r="P18" s="148"/>
      <c r="Q18" s="149"/>
      <c r="R18" s="24">
        <f t="shared" si="2"/>
        <v>8</v>
      </c>
      <c r="S18" s="88">
        <f t="shared" si="3"/>
        <v>7</v>
      </c>
      <c r="T18" s="88">
        <f t="shared" si="4"/>
        <v>0</v>
      </c>
      <c r="U18" s="88">
        <f t="shared" si="5"/>
        <v>1</v>
      </c>
      <c r="V18" s="88">
        <f t="shared" si="6"/>
        <v>0</v>
      </c>
      <c r="W18" s="88">
        <f t="shared" si="7"/>
        <v>0</v>
      </c>
      <c r="X18" s="88">
        <f t="shared" si="8"/>
        <v>1</v>
      </c>
      <c r="Y18" s="88">
        <f t="shared" si="9"/>
        <v>0</v>
      </c>
      <c r="Z18" s="88">
        <f t="shared" si="10"/>
        <v>1</v>
      </c>
      <c r="AD18" s="93"/>
      <c r="AE18" s="93"/>
    </row>
    <row r="19" spans="1:31" ht="20.100000000000001" customHeight="1">
      <c r="A19" s="124">
        <v>8</v>
      </c>
      <c r="B19" s="129" t="s">
        <v>69</v>
      </c>
      <c r="C19" s="126"/>
      <c r="D19" s="127"/>
      <c r="E19" s="127">
        <v>5</v>
      </c>
      <c r="F19" s="127">
        <v>4</v>
      </c>
      <c r="G19" s="127" t="s">
        <v>103</v>
      </c>
      <c r="H19" s="127">
        <v>5</v>
      </c>
      <c r="I19" s="127">
        <v>4</v>
      </c>
      <c r="J19" s="127"/>
      <c r="K19" s="127">
        <v>5</v>
      </c>
      <c r="L19" s="127">
        <v>4</v>
      </c>
      <c r="M19" s="131">
        <v>4</v>
      </c>
      <c r="N19" s="96" t="s">
        <v>98</v>
      </c>
      <c r="O19" s="97" t="s">
        <v>98</v>
      </c>
      <c r="P19" s="89"/>
      <c r="Q19" s="90"/>
      <c r="R19" s="24">
        <f t="shared" si="2"/>
        <v>7</v>
      </c>
      <c r="S19" s="88">
        <f t="shared" si="3"/>
        <v>7</v>
      </c>
      <c r="T19" s="88">
        <f t="shared" si="4"/>
        <v>0</v>
      </c>
      <c r="U19" s="88">
        <f t="shared" si="5"/>
        <v>3</v>
      </c>
      <c r="V19" s="88">
        <f t="shared" si="6"/>
        <v>0</v>
      </c>
      <c r="W19" s="88">
        <f t="shared" si="7"/>
        <v>0</v>
      </c>
      <c r="X19" s="88">
        <f t="shared" si="8"/>
        <v>0</v>
      </c>
      <c r="Y19" s="88">
        <f t="shared" si="9"/>
        <v>0</v>
      </c>
      <c r="Z19" s="88">
        <f t="shared" si="10"/>
        <v>2</v>
      </c>
      <c r="AD19" s="93"/>
      <c r="AE19" s="93"/>
    </row>
    <row r="20" spans="1:31" ht="20.100000000000001" customHeight="1">
      <c r="A20" s="124">
        <v>9</v>
      </c>
      <c r="B20" s="128" t="s">
        <v>70</v>
      </c>
      <c r="C20" s="126"/>
      <c r="D20" s="127"/>
      <c r="E20" s="127">
        <v>5</v>
      </c>
      <c r="F20" s="127">
        <v>5</v>
      </c>
      <c r="G20" s="127">
        <v>5</v>
      </c>
      <c r="H20" s="127">
        <v>4</v>
      </c>
      <c r="I20" s="127">
        <v>4</v>
      </c>
      <c r="J20" s="127"/>
      <c r="K20" s="127">
        <v>4</v>
      </c>
      <c r="L20" s="127">
        <v>4</v>
      </c>
      <c r="M20" s="96">
        <v>4</v>
      </c>
      <c r="N20" s="96" t="s">
        <v>98</v>
      </c>
      <c r="O20" s="97" t="s">
        <v>98</v>
      </c>
      <c r="P20" s="89"/>
      <c r="Q20" s="90"/>
      <c r="R20" s="24">
        <f t="shared" si="2"/>
        <v>8</v>
      </c>
      <c r="S20" s="88">
        <f t="shared" si="3"/>
        <v>8</v>
      </c>
      <c r="T20" s="88">
        <f t="shared" si="4"/>
        <v>0</v>
      </c>
      <c r="U20" s="88">
        <f t="shared" si="5"/>
        <v>3</v>
      </c>
      <c r="V20" s="88">
        <f t="shared" si="6"/>
        <v>0</v>
      </c>
      <c r="W20" s="88">
        <f t="shared" si="7"/>
        <v>0</v>
      </c>
      <c r="X20" s="88">
        <f t="shared" si="8"/>
        <v>0</v>
      </c>
      <c r="Y20" s="88">
        <f t="shared" si="9"/>
        <v>0</v>
      </c>
      <c r="Z20" s="88">
        <f t="shared" si="10"/>
        <v>1</v>
      </c>
      <c r="AD20" s="93"/>
      <c r="AE20" s="93"/>
    </row>
    <row r="21" spans="1:31" ht="20.100000000000001" customHeight="1">
      <c r="A21" s="124">
        <v>10</v>
      </c>
      <c r="B21" s="128" t="s">
        <v>71</v>
      </c>
      <c r="C21" s="126"/>
      <c r="D21" s="127"/>
      <c r="E21" s="127">
        <v>5</v>
      </c>
      <c r="F21" s="127">
        <v>5</v>
      </c>
      <c r="G21" s="127">
        <v>5</v>
      </c>
      <c r="H21" s="127">
        <v>5</v>
      </c>
      <c r="I21" s="127">
        <v>4</v>
      </c>
      <c r="J21" s="127"/>
      <c r="K21" s="127">
        <v>5</v>
      </c>
      <c r="L21" s="127">
        <v>4</v>
      </c>
      <c r="M21" s="96">
        <v>4</v>
      </c>
      <c r="N21" s="96" t="s">
        <v>98</v>
      </c>
      <c r="O21" s="97" t="s">
        <v>98</v>
      </c>
      <c r="P21" s="89"/>
      <c r="Q21" s="90"/>
      <c r="R21" s="24">
        <f t="shared" si="2"/>
        <v>8</v>
      </c>
      <c r="S21" s="88">
        <f t="shared" si="3"/>
        <v>8</v>
      </c>
      <c r="T21" s="88">
        <f t="shared" si="4"/>
        <v>0</v>
      </c>
      <c r="U21" s="88">
        <f t="shared" si="5"/>
        <v>5</v>
      </c>
      <c r="V21" s="88">
        <f t="shared" si="6"/>
        <v>0</v>
      </c>
      <c r="W21" s="88">
        <f t="shared" si="7"/>
        <v>0</v>
      </c>
      <c r="X21" s="88">
        <f t="shared" si="8"/>
        <v>0</v>
      </c>
      <c r="Y21" s="88">
        <f t="shared" si="9"/>
        <v>0</v>
      </c>
      <c r="Z21" s="88">
        <f t="shared" si="10"/>
        <v>1</v>
      </c>
      <c r="AD21" s="93"/>
      <c r="AE21" s="93"/>
    </row>
    <row r="22" spans="1:31" ht="20.100000000000001" customHeight="1">
      <c r="A22" s="108">
        <v>11</v>
      </c>
      <c r="B22" s="112" t="s">
        <v>72</v>
      </c>
      <c r="C22" s="119"/>
      <c r="D22" s="26"/>
      <c r="E22" s="26">
        <v>4</v>
      </c>
      <c r="F22" s="26">
        <v>3</v>
      </c>
      <c r="G22" s="26">
        <v>4</v>
      </c>
      <c r="H22" s="26">
        <v>5</v>
      </c>
      <c r="I22" s="26">
        <v>3</v>
      </c>
      <c r="J22" s="26"/>
      <c r="K22" s="26">
        <v>4</v>
      </c>
      <c r="L22" s="26">
        <v>5</v>
      </c>
      <c r="M22" s="96">
        <v>4</v>
      </c>
      <c r="N22" s="96" t="s">
        <v>98</v>
      </c>
      <c r="O22" s="97" t="s">
        <v>98</v>
      </c>
      <c r="P22" s="89"/>
      <c r="Q22" s="90"/>
      <c r="R22" s="24">
        <f t="shared" si="2"/>
        <v>8</v>
      </c>
      <c r="S22" s="88">
        <f t="shared" si="3"/>
        <v>6</v>
      </c>
      <c r="T22" s="88">
        <f t="shared" si="4"/>
        <v>0</v>
      </c>
      <c r="U22" s="88">
        <f t="shared" si="5"/>
        <v>2</v>
      </c>
      <c r="V22" s="88">
        <f t="shared" si="6"/>
        <v>0</v>
      </c>
      <c r="W22" s="88">
        <f t="shared" si="7"/>
        <v>0</v>
      </c>
      <c r="X22" s="88">
        <f t="shared" si="8"/>
        <v>2</v>
      </c>
      <c r="Y22" s="88">
        <f t="shared" si="9"/>
        <v>0</v>
      </c>
      <c r="Z22" s="88">
        <f t="shared" si="10"/>
        <v>1</v>
      </c>
      <c r="AD22" s="93"/>
      <c r="AE22" s="93"/>
    </row>
    <row r="23" spans="1:31" ht="20.100000000000001" customHeight="1">
      <c r="A23" s="108">
        <v>12</v>
      </c>
      <c r="B23" s="113" t="s">
        <v>73</v>
      </c>
      <c r="C23" s="119"/>
      <c r="D23" s="26"/>
      <c r="E23" s="26">
        <v>5</v>
      </c>
      <c r="F23" s="26">
        <v>4</v>
      </c>
      <c r="G23" s="26">
        <v>5</v>
      </c>
      <c r="H23" s="26">
        <v>5</v>
      </c>
      <c r="I23" s="26">
        <v>4</v>
      </c>
      <c r="J23" s="26"/>
      <c r="K23" s="26">
        <v>4</v>
      </c>
      <c r="L23" s="26">
        <v>4</v>
      </c>
      <c r="M23" s="96" t="s">
        <v>103</v>
      </c>
      <c r="N23" s="96" t="s">
        <v>98</v>
      </c>
      <c r="O23" s="97" t="s">
        <v>98</v>
      </c>
      <c r="P23" s="89"/>
      <c r="Q23" s="90"/>
      <c r="R23" s="24">
        <f t="shared" si="2"/>
        <v>7</v>
      </c>
      <c r="S23" s="88">
        <f t="shared" si="3"/>
        <v>7</v>
      </c>
      <c r="T23" s="88">
        <f t="shared" si="4"/>
        <v>0</v>
      </c>
      <c r="U23" s="88">
        <f t="shared" si="5"/>
        <v>3</v>
      </c>
      <c r="V23" s="88">
        <f t="shared" si="6"/>
        <v>0</v>
      </c>
      <c r="W23" s="88">
        <f t="shared" si="7"/>
        <v>0</v>
      </c>
      <c r="X23" s="88">
        <f t="shared" si="8"/>
        <v>0</v>
      </c>
      <c r="Y23" s="88">
        <f t="shared" si="9"/>
        <v>0</v>
      </c>
      <c r="Z23" s="88">
        <f t="shared" si="10"/>
        <v>2</v>
      </c>
      <c r="AD23" s="93"/>
      <c r="AE23" s="93"/>
    </row>
    <row r="24" spans="1:31" ht="20.100000000000001" customHeight="1">
      <c r="A24" s="108">
        <v>13</v>
      </c>
      <c r="B24" s="112" t="s">
        <v>74</v>
      </c>
      <c r="C24" s="119"/>
      <c r="D24" s="26"/>
      <c r="E24" s="26">
        <v>2</v>
      </c>
      <c r="F24" s="26">
        <v>2</v>
      </c>
      <c r="G24" s="26">
        <v>2</v>
      </c>
      <c r="H24" s="26" t="s">
        <v>103</v>
      </c>
      <c r="I24" s="26">
        <v>2</v>
      </c>
      <c r="J24" s="26"/>
      <c r="K24" s="26">
        <v>3</v>
      </c>
      <c r="L24" s="26">
        <v>4</v>
      </c>
      <c r="M24" s="96" t="s">
        <v>103</v>
      </c>
      <c r="N24" s="96" t="s">
        <v>98</v>
      </c>
      <c r="O24" s="97" t="s">
        <v>98</v>
      </c>
      <c r="P24" s="89"/>
      <c r="Q24" s="90"/>
      <c r="R24" s="24">
        <f t="shared" si="2"/>
        <v>2</v>
      </c>
      <c r="S24" s="88">
        <f t="shared" si="3"/>
        <v>1</v>
      </c>
      <c r="T24" s="88">
        <f t="shared" si="4"/>
        <v>0</v>
      </c>
      <c r="U24" s="88">
        <f t="shared" si="5"/>
        <v>0</v>
      </c>
      <c r="V24" s="88">
        <f t="shared" si="6"/>
        <v>0</v>
      </c>
      <c r="W24" s="88">
        <f t="shared" si="7"/>
        <v>0</v>
      </c>
      <c r="X24" s="88">
        <f t="shared" si="8"/>
        <v>1</v>
      </c>
      <c r="Y24" s="88">
        <f t="shared" si="9"/>
        <v>0</v>
      </c>
      <c r="Z24" s="88">
        <f t="shared" si="10"/>
        <v>7</v>
      </c>
      <c r="AD24" s="93"/>
      <c r="AE24" s="93"/>
    </row>
    <row r="25" spans="1:31" ht="20.100000000000001" customHeight="1">
      <c r="A25" s="108">
        <v>14</v>
      </c>
      <c r="B25" s="112" t="s">
        <v>75</v>
      </c>
      <c r="C25" s="119"/>
      <c r="D25" s="26"/>
      <c r="E25" s="26">
        <v>4</v>
      </c>
      <c r="F25" s="26">
        <v>4</v>
      </c>
      <c r="G25" s="26">
        <v>5</v>
      </c>
      <c r="H25" s="26">
        <v>4</v>
      </c>
      <c r="I25" s="26">
        <v>4</v>
      </c>
      <c r="J25" s="26"/>
      <c r="K25" s="26">
        <v>4</v>
      </c>
      <c r="L25" s="26">
        <v>4</v>
      </c>
      <c r="M25" s="96"/>
      <c r="N25" s="96" t="s">
        <v>98</v>
      </c>
      <c r="O25" s="97" t="s">
        <v>98</v>
      </c>
      <c r="P25" s="89"/>
      <c r="Q25" s="90"/>
      <c r="R25" s="24">
        <f t="shared" si="2"/>
        <v>7</v>
      </c>
      <c r="S25" s="88">
        <f t="shared" si="3"/>
        <v>7</v>
      </c>
      <c r="T25" s="88">
        <f t="shared" si="4"/>
        <v>0</v>
      </c>
      <c r="U25" s="88">
        <f t="shared" si="5"/>
        <v>1</v>
      </c>
      <c r="V25" s="88">
        <f t="shared" si="6"/>
        <v>0</v>
      </c>
      <c r="W25" s="88">
        <f t="shared" si="7"/>
        <v>0</v>
      </c>
      <c r="X25" s="88">
        <f t="shared" si="8"/>
        <v>0</v>
      </c>
      <c r="Y25" s="88">
        <f t="shared" si="9"/>
        <v>0</v>
      </c>
      <c r="Z25" s="88">
        <f t="shared" si="10"/>
        <v>2</v>
      </c>
      <c r="AD25" s="93"/>
      <c r="AE25" s="93"/>
    </row>
    <row r="26" spans="1:31" ht="20.100000000000001" customHeight="1">
      <c r="A26" s="124">
        <v>15</v>
      </c>
      <c r="B26" s="128" t="s">
        <v>76</v>
      </c>
      <c r="C26" s="126"/>
      <c r="D26" s="127"/>
      <c r="E26" s="127">
        <v>5</v>
      </c>
      <c r="F26" s="127" t="s">
        <v>103</v>
      </c>
      <c r="G26" s="127">
        <v>4</v>
      </c>
      <c r="H26" s="127">
        <v>5</v>
      </c>
      <c r="I26" s="127">
        <v>5</v>
      </c>
      <c r="J26" s="127"/>
      <c r="K26" s="127">
        <v>4</v>
      </c>
      <c r="L26" s="127" t="s">
        <v>103</v>
      </c>
      <c r="M26" s="96">
        <v>4</v>
      </c>
      <c r="N26" s="96" t="s">
        <v>98</v>
      </c>
      <c r="O26" s="97" t="s">
        <v>98</v>
      </c>
      <c r="P26" s="89"/>
      <c r="Q26" s="90"/>
      <c r="R26" s="24">
        <f t="shared" si="2"/>
        <v>6</v>
      </c>
      <c r="S26" s="88">
        <f t="shared" si="3"/>
        <v>6</v>
      </c>
      <c r="T26" s="88">
        <f t="shared" si="4"/>
        <v>0</v>
      </c>
      <c r="U26" s="88">
        <f t="shared" si="5"/>
        <v>3</v>
      </c>
      <c r="V26" s="88">
        <f t="shared" si="6"/>
        <v>0</v>
      </c>
      <c r="W26" s="88">
        <f t="shared" si="7"/>
        <v>0</v>
      </c>
      <c r="X26" s="88">
        <f t="shared" si="8"/>
        <v>0</v>
      </c>
      <c r="Y26" s="88">
        <f t="shared" si="9"/>
        <v>0</v>
      </c>
      <c r="Z26" s="88">
        <f t="shared" si="10"/>
        <v>3</v>
      </c>
      <c r="AD26" s="93"/>
      <c r="AE26" s="93"/>
    </row>
    <row r="27" spans="1:31" ht="20.100000000000001" customHeight="1">
      <c r="A27" s="108">
        <v>16</v>
      </c>
      <c r="B27" s="114" t="s">
        <v>77</v>
      </c>
      <c r="C27" s="26"/>
      <c r="D27" s="26"/>
      <c r="E27" s="26">
        <v>2</v>
      </c>
      <c r="F27" s="26">
        <v>2</v>
      </c>
      <c r="G27" s="26">
        <v>2</v>
      </c>
      <c r="H27" s="26" t="s">
        <v>103</v>
      </c>
      <c r="I27" s="26">
        <v>2</v>
      </c>
      <c r="J27" s="26"/>
      <c r="K27" s="26">
        <v>2</v>
      </c>
      <c r="L27" s="26">
        <v>4</v>
      </c>
      <c r="M27" s="96" t="s">
        <v>103</v>
      </c>
      <c r="N27" s="96" t="s">
        <v>98</v>
      </c>
      <c r="O27" s="97" t="s">
        <v>98</v>
      </c>
      <c r="P27" s="89"/>
      <c r="Q27" s="90"/>
      <c r="R27" s="24">
        <f>COUNTIF(C27:O27,3)+COUNTIF(C27:O27,4)+COUNTIF(C27:O27,5)+COUNTIF(C27:O27,"зач.")+COUNTIF(C27:O27,"зачёт")+COUNTIF(C27:O27,"зачтено")</f>
        <v>1</v>
      </c>
      <c r="S27" s="88">
        <f>COUNTIF(C27:O27,4)+COUNTIF(C27:O27,5)+COUNTIF(C27:O27,"зач.")+COUNTIF(C27:O27,"зачёт")+COUNTIF(C27:O27,"зачтено")</f>
        <v>1</v>
      </c>
      <c r="T27" s="88">
        <f>IF(AND(R27=$R$11, B27&lt;&gt;"", COUNTA(C27:O27)=$R$11, $R$11&lt;&gt;0),1,0)</f>
        <v>0</v>
      </c>
      <c r="U27" s="88">
        <f>COUNTIF(C27:O27,5)+COUNTIF(C27:O27,"зач.")+COUNTIF(C27:O27,"зачёт")+COUNTIF(C27:O27,"зачтено")</f>
        <v>0</v>
      </c>
      <c r="V27" s="88">
        <f t="shared" si="6"/>
        <v>0</v>
      </c>
      <c r="W27" s="88">
        <f t="shared" si="7"/>
        <v>0</v>
      </c>
      <c r="X27" s="88">
        <f>COUNTIF(C27:O27,3)</f>
        <v>0</v>
      </c>
      <c r="Y27" s="88">
        <f t="shared" si="9"/>
        <v>0</v>
      </c>
      <c r="Z27" s="88">
        <f t="shared" si="10"/>
        <v>8</v>
      </c>
      <c r="AD27" s="93"/>
      <c r="AE27" s="93"/>
    </row>
    <row r="28" spans="1:31" ht="20.100000000000001" customHeight="1">
      <c r="A28" s="108">
        <v>17</v>
      </c>
      <c r="B28" s="132" t="s">
        <v>78</v>
      </c>
      <c r="C28" s="119"/>
      <c r="D28" s="26"/>
      <c r="E28" s="26">
        <v>2</v>
      </c>
      <c r="F28" s="26" t="s">
        <v>103</v>
      </c>
      <c r="G28" s="26">
        <v>4</v>
      </c>
      <c r="H28" s="26" t="s">
        <v>103</v>
      </c>
      <c r="I28" s="26">
        <v>4</v>
      </c>
      <c r="J28" s="26"/>
      <c r="K28" s="26">
        <v>3</v>
      </c>
      <c r="L28" s="26">
        <v>4</v>
      </c>
      <c r="M28" s="96" t="s">
        <v>103</v>
      </c>
      <c r="N28" s="96" t="s">
        <v>98</v>
      </c>
      <c r="O28" s="97" t="s">
        <v>98</v>
      </c>
      <c r="P28" s="89"/>
      <c r="Q28" s="90"/>
      <c r="R28" s="24">
        <f t="shared" si="2"/>
        <v>4</v>
      </c>
      <c r="S28" s="88">
        <f t="shared" si="3"/>
        <v>3</v>
      </c>
      <c r="T28" s="88">
        <f>IF(AND(R28=$R$11, B28&lt;&gt;"", COUNTA(C28:O28)=$R$11, $R$11&lt;&gt;0),1,0)</f>
        <v>0</v>
      </c>
      <c r="U28" s="88">
        <f t="shared" si="5"/>
        <v>0</v>
      </c>
      <c r="V28" s="88">
        <f t="shared" si="6"/>
        <v>0</v>
      </c>
      <c r="W28" s="88">
        <f t="shared" si="7"/>
        <v>0</v>
      </c>
      <c r="X28" s="88">
        <f t="shared" si="8"/>
        <v>1</v>
      </c>
      <c r="Y28" s="88">
        <f t="shared" si="9"/>
        <v>0</v>
      </c>
      <c r="Z28" s="88">
        <f>IF(ISBLANK(B28), 0, $R$11-R28)</f>
        <v>5</v>
      </c>
      <c r="AD28" s="93"/>
      <c r="AE28" s="93"/>
    </row>
    <row r="29" spans="1:31" ht="20.100000000000001" customHeight="1">
      <c r="A29" s="108">
        <v>18</v>
      </c>
      <c r="B29" s="115" t="s">
        <v>100</v>
      </c>
      <c r="C29" s="119"/>
      <c r="D29" s="26"/>
      <c r="E29" s="26">
        <v>5</v>
      </c>
      <c r="F29" s="26">
        <v>2</v>
      </c>
      <c r="G29" s="26" t="s">
        <v>103</v>
      </c>
      <c r="H29" s="26">
        <v>4</v>
      </c>
      <c r="I29" s="26">
        <v>2</v>
      </c>
      <c r="J29" s="26"/>
      <c r="K29" s="26">
        <v>2</v>
      </c>
      <c r="L29" s="26">
        <v>4</v>
      </c>
      <c r="M29" s="96">
        <v>4</v>
      </c>
      <c r="N29" s="96" t="s">
        <v>98</v>
      </c>
      <c r="O29" s="97" t="s">
        <v>98</v>
      </c>
      <c r="P29" s="89"/>
      <c r="Q29" s="90"/>
      <c r="R29" s="24">
        <f t="shared" si="2"/>
        <v>4</v>
      </c>
      <c r="S29" s="88">
        <f t="shared" si="3"/>
        <v>4</v>
      </c>
      <c r="T29" s="88">
        <f>IF(AND(R29=$R$11, B29&lt;&gt;"", COUNTA(C29:O29)=$R$11, $R$11&lt;&gt;0),1,0)</f>
        <v>0</v>
      </c>
      <c r="U29" s="88">
        <f t="shared" si="5"/>
        <v>1</v>
      </c>
      <c r="V29" s="88">
        <f t="shared" si="6"/>
        <v>0</v>
      </c>
      <c r="W29" s="88">
        <f t="shared" si="7"/>
        <v>0</v>
      </c>
      <c r="X29" s="88">
        <f t="shared" si="8"/>
        <v>0</v>
      </c>
      <c r="Y29" s="88">
        <f t="shared" si="9"/>
        <v>0</v>
      </c>
      <c r="Z29" s="88">
        <f>IF(ISBLANK(B29), 0, $R$11-R29)</f>
        <v>5</v>
      </c>
      <c r="AD29" s="93"/>
      <c r="AE29" s="93"/>
    </row>
    <row r="30" spans="1:31" ht="20.100000000000001" customHeight="1">
      <c r="A30" s="108">
        <v>19</v>
      </c>
      <c r="B30" s="116" t="s">
        <v>79</v>
      </c>
      <c r="C30" s="119"/>
      <c r="D30" s="26"/>
      <c r="E30" s="26">
        <v>4</v>
      </c>
      <c r="F30" s="26">
        <v>4</v>
      </c>
      <c r="G30" s="26">
        <v>4</v>
      </c>
      <c r="H30" s="26">
        <v>5</v>
      </c>
      <c r="I30" s="26">
        <v>4</v>
      </c>
      <c r="J30" s="26"/>
      <c r="K30" s="26">
        <v>4</v>
      </c>
      <c r="L30" s="26">
        <v>4</v>
      </c>
      <c r="M30" s="96">
        <v>4</v>
      </c>
      <c r="N30" s="96" t="s">
        <v>98</v>
      </c>
      <c r="O30" s="97" t="s">
        <v>98</v>
      </c>
      <c r="P30" s="89"/>
      <c r="Q30" s="90"/>
      <c r="R30" s="24">
        <f t="shared" si="2"/>
        <v>8</v>
      </c>
      <c r="S30" s="88">
        <f t="shared" si="3"/>
        <v>8</v>
      </c>
      <c r="T30" s="88">
        <f>IF(AND(R30=$R$11, B30&lt;&gt;"", COUNTA(C30:O30)=$R$11, $R$11&lt;&gt;0),1,0)</f>
        <v>0</v>
      </c>
      <c r="U30" s="88">
        <f t="shared" si="5"/>
        <v>1</v>
      </c>
      <c r="V30" s="88">
        <f t="shared" si="6"/>
        <v>0</v>
      </c>
      <c r="W30" s="88">
        <f t="shared" si="7"/>
        <v>0</v>
      </c>
      <c r="X30" s="88">
        <f t="shared" si="8"/>
        <v>0</v>
      </c>
      <c r="Y30" s="88">
        <f t="shared" si="9"/>
        <v>0</v>
      </c>
      <c r="Z30" s="88">
        <f>IF(ISBLANK(B30), 0, $R$11-R30)</f>
        <v>1</v>
      </c>
      <c r="AD30" s="93"/>
      <c r="AE30" s="93"/>
    </row>
    <row r="31" spans="1:31" ht="20.100000000000001" customHeight="1">
      <c r="A31" s="108">
        <v>20</v>
      </c>
      <c r="B31" s="117" t="s">
        <v>80</v>
      </c>
      <c r="C31" s="119"/>
      <c r="D31" s="26"/>
      <c r="E31" s="26">
        <v>3</v>
      </c>
      <c r="F31" s="26">
        <v>4</v>
      </c>
      <c r="G31" s="26" t="s">
        <v>103</v>
      </c>
      <c r="H31" s="26">
        <v>5</v>
      </c>
      <c r="I31" s="26">
        <v>3</v>
      </c>
      <c r="J31" s="26"/>
      <c r="K31" s="26">
        <v>3</v>
      </c>
      <c r="L31" s="26">
        <v>4</v>
      </c>
      <c r="M31" s="96">
        <v>4</v>
      </c>
      <c r="N31" s="96" t="s">
        <v>98</v>
      </c>
      <c r="O31" s="97" t="s">
        <v>98</v>
      </c>
      <c r="P31" s="89"/>
      <c r="Q31" s="90"/>
      <c r="R31" s="24">
        <f t="shared" si="2"/>
        <v>7</v>
      </c>
      <c r="S31" s="88">
        <f t="shared" si="3"/>
        <v>4</v>
      </c>
      <c r="T31" s="88">
        <f>IF(AND(R31=$R$11, B31&lt;&gt;"", COUNTA(C31:O31)=$R$11, $R$11&lt;&gt;0),1,0)</f>
        <v>0</v>
      </c>
      <c r="U31" s="88">
        <f t="shared" si="5"/>
        <v>1</v>
      </c>
      <c r="V31" s="88">
        <f t="shared" si="6"/>
        <v>0</v>
      </c>
      <c r="W31" s="88">
        <f t="shared" si="7"/>
        <v>0</v>
      </c>
      <c r="X31" s="88">
        <f t="shared" si="8"/>
        <v>3</v>
      </c>
      <c r="Y31" s="88">
        <f t="shared" si="9"/>
        <v>0</v>
      </c>
      <c r="Z31" s="88">
        <f>IF(ISBLANK(B31), 0, $R$11-R31)</f>
        <v>2</v>
      </c>
      <c r="AD31" s="93"/>
      <c r="AE31" s="93"/>
    </row>
    <row r="32" spans="1:31" ht="20.100000000000001" customHeight="1">
      <c r="A32" s="108">
        <v>21</v>
      </c>
      <c r="B32" s="115" t="s">
        <v>81</v>
      </c>
      <c r="C32" s="119"/>
      <c r="D32" s="26"/>
      <c r="E32" s="26">
        <v>4</v>
      </c>
      <c r="F32" s="26">
        <v>4</v>
      </c>
      <c r="G32" s="26">
        <v>4</v>
      </c>
      <c r="H32" s="26">
        <v>5</v>
      </c>
      <c r="I32" s="26">
        <v>4</v>
      </c>
      <c r="J32" s="26"/>
      <c r="K32" s="26">
        <v>4</v>
      </c>
      <c r="L32" s="26">
        <v>4</v>
      </c>
      <c r="M32" s="96">
        <v>4</v>
      </c>
      <c r="N32" s="96" t="s">
        <v>98</v>
      </c>
      <c r="O32" s="97" t="s">
        <v>98</v>
      </c>
      <c r="P32" s="89"/>
      <c r="Q32" s="90"/>
      <c r="R32" s="24">
        <f t="shared" si="2"/>
        <v>8</v>
      </c>
      <c r="S32" s="88">
        <f t="shared" si="3"/>
        <v>8</v>
      </c>
      <c r="T32" s="88">
        <f t="shared" si="4"/>
        <v>0</v>
      </c>
      <c r="U32" s="88">
        <f t="shared" si="5"/>
        <v>1</v>
      </c>
      <c r="V32" s="88">
        <f t="shared" si="6"/>
        <v>0</v>
      </c>
      <c r="W32" s="88">
        <f t="shared" si="7"/>
        <v>0</v>
      </c>
      <c r="X32" s="88">
        <f t="shared" si="8"/>
        <v>0</v>
      </c>
      <c r="Y32" s="88">
        <f t="shared" si="9"/>
        <v>0</v>
      </c>
      <c r="Z32" s="88">
        <f t="shared" si="10"/>
        <v>1</v>
      </c>
      <c r="AD32" s="93"/>
      <c r="AE32" s="93"/>
    </row>
    <row r="33" spans="1:31" ht="20.100000000000001" customHeight="1">
      <c r="A33" s="108">
        <v>22</v>
      </c>
      <c r="B33" s="117" t="s">
        <v>82</v>
      </c>
      <c r="C33" s="119"/>
      <c r="D33" s="26"/>
      <c r="E33" s="26">
        <v>4</v>
      </c>
      <c r="F33" s="26">
        <v>4</v>
      </c>
      <c r="G33" s="26">
        <v>5</v>
      </c>
      <c r="H33" s="26">
        <v>5</v>
      </c>
      <c r="I33" s="26">
        <v>4</v>
      </c>
      <c r="J33" s="26"/>
      <c r="K33" s="26">
        <v>4</v>
      </c>
      <c r="L33" s="26">
        <v>4</v>
      </c>
      <c r="M33" s="96">
        <v>4</v>
      </c>
      <c r="N33" s="96" t="s">
        <v>98</v>
      </c>
      <c r="O33" s="97" t="s">
        <v>98</v>
      </c>
      <c r="P33" s="89"/>
      <c r="Q33" s="90"/>
      <c r="R33" s="24">
        <f t="shared" si="2"/>
        <v>8</v>
      </c>
      <c r="S33" s="88">
        <f t="shared" si="3"/>
        <v>8</v>
      </c>
      <c r="T33" s="88">
        <f t="shared" si="4"/>
        <v>0</v>
      </c>
      <c r="U33" s="88">
        <f t="shared" si="5"/>
        <v>2</v>
      </c>
      <c r="V33" s="88">
        <f t="shared" si="6"/>
        <v>0</v>
      </c>
      <c r="W33" s="88">
        <f t="shared" si="7"/>
        <v>0</v>
      </c>
      <c r="X33" s="88">
        <f t="shared" si="8"/>
        <v>0</v>
      </c>
      <c r="Y33" s="88">
        <f t="shared" si="9"/>
        <v>0</v>
      </c>
      <c r="Z33" s="88">
        <f t="shared" si="10"/>
        <v>1</v>
      </c>
      <c r="AD33" s="93"/>
      <c r="AE33" s="93"/>
    </row>
    <row r="34" spans="1:31" ht="20.100000000000001" customHeight="1">
      <c r="A34" s="124">
        <v>23</v>
      </c>
      <c r="B34" s="130" t="s">
        <v>83</v>
      </c>
      <c r="C34" s="126"/>
      <c r="D34" s="127"/>
      <c r="E34" s="127">
        <v>4</v>
      </c>
      <c r="F34" s="127">
        <v>4</v>
      </c>
      <c r="G34" s="127">
        <v>4</v>
      </c>
      <c r="H34" s="127">
        <v>5</v>
      </c>
      <c r="I34" s="127"/>
      <c r="J34" s="127"/>
      <c r="K34" s="127">
        <v>4</v>
      </c>
      <c r="L34" s="127">
        <v>4</v>
      </c>
      <c r="M34" s="96">
        <v>4</v>
      </c>
      <c r="N34" s="96" t="s">
        <v>98</v>
      </c>
      <c r="O34" s="97" t="s">
        <v>98</v>
      </c>
      <c r="P34" s="89"/>
      <c r="Q34" s="90"/>
      <c r="R34" s="24">
        <f t="shared" si="2"/>
        <v>7</v>
      </c>
      <c r="S34" s="88">
        <f t="shared" si="3"/>
        <v>7</v>
      </c>
      <c r="T34" s="88">
        <f t="shared" si="4"/>
        <v>0</v>
      </c>
      <c r="U34" s="88">
        <f t="shared" si="5"/>
        <v>1</v>
      </c>
      <c r="V34" s="88">
        <f t="shared" si="6"/>
        <v>0</v>
      </c>
      <c r="W34" s="88">
        <f t="shared" si="7"/>
        <v>0</v>
      </c>
      <c r="X34" s="88">
        <f t="shared" si="8"/>
        <v>0</v>
      </c>
      <c r="Y34" s="88">
        <f t="shared" si="9"/>
        <v>0</v>
      </c>
      <c r="Z34" s="88">
        <f t="shared" si="10"/>
        <v>2</v>
      </c>
      <c r="AD34" s="93"/>
      <c r="AE34" s="93"/>
    </row>
    <row r="35" spans="1:31" ht="20.100000000000001" customHeight="1">
      <c r="A35" s="108">
        <v>24</v>
      </c>
      <c r="B35" s="117" t="s">
        <v>84</v>
      </c>
      <c r="C35" s="120"/>
      <c r="D35" s="26"/>
      <c r="E35" s="26">
        <v>5</v>
      </c>
      <c r="F35" s="26">
        <v>4</v>
      </c>
      <c r="G35" s="26">
        <v>4</v>
      </c>
      <c r="H35" s="26">
        <v>4</v>
      </c>
      <c r="I35" s="26">
        <v>4</v>
      </c>
      <c r="J35" s="26"/>
      <c r="K35" s="26">
        <v>4</v>
      </c>
      <c r="L35" s="26">
        <v>4</v>
      </c>
      <c r="M35" s="96">
        <v>3</v>
      </c>
      <c r="N35" s="96" t="s">
        <v>98</v>
      </c>
      <c r="O35" s="97" t="s">
        <v>98</v>
      </c>
      <c r="P35" s="89"/>
      <c r="Q35" s="90"/>
      <c r="R35" s="24">
        <f t="shared" si="2"/>
        <v>8</v>
      </c>
      <c r="S35" s="88">
        <f t="shared" si="3"/>
        <v>7</v>
      </c>
      <c r="T35" s="88">
        <f t="shared" si="4"/>
        <v>0</v>
      </c>
      <c r="U35" s="88">
        <f t="shared" si="5"/>
        <v>1</v>
      </c>
      <c r="V35" s="88">
        <f t="shared" si="6"/>
        <v>0</v>
      </c>
      <c r="W35" s="88">
        <f t="shared" si="7"/>
        <v>0</v>
      </c>
      <c r="X35" s="88">
        <f t="shared" si="8"/>
        <v>1</v>
      </c>
      <c r="Y35" s="88">
        <f t="shared" si="9"/>
        <v>0</v>
      </c>
      <c r="Z35" s="88">
        <f t="shared" si="10"/>
        <v>1</v>
      </c>
      <c r="AD35" s="93"/>
      <c r="AE35" s="93"/>
    </row>
    <row r="36" spans="1:31" ht="20.100000000000001" customHeight="1">
      <c r="A36" s="108">
        <v>25</v>
      </c>
      <c r="B36" s="118" t="s">
        <v>85</v>
      </c>
      <c r="C36" s="120"/>
      <c r="D36" s="26"/>
      <c r="E36" s="26">
        <v>4</v>
      </c>
      <c r="F36" s="26" t="s">
        <v>103</v>
      </c>
      <c r="G36" s="26" t="s">
        <v>103</v>
      </c>
      <c r="H36" s="26" t="s">
        <v>103</v>
      </c>
      <c r="I36" s="26" t="s">
        <v>103</v>
      </c>
      <c r="J36" s="26"/>
      <c r="K36" s="26">
        <v>3</v>
      </c>
      <c r="L36" s="26">
        <v>4</v>
      </c>
      <c r="M36" s="96" t="s">
        <v>103</v>
      </c>
      <c r="N36" s="96" t="s">
        <v>98</v>
      </c>
      <c r="O36" s="97" t="s">
        <v>98</v>
      </c>
      <c r="P36" s="89"/>
      <c r="Q36" s="90"/>
      <c r="R36" s="24">
        <f t="shared" si="2"/>
        <v>3</v>
      </c>
      <c r="S36" s="88">
        <f t="shared" si="3"/>
        <v>2</v>
      </c>
      <c r="T36" s="88">
        <f t="shared" si="4"/>
        <v>0</v>
      </c>
      <c r="U36" s="88">
        <f t="shared" si="5"/>
        <v>0</v>
      </c>
      <c r="V36" s="88">
        <f t="shared" si="6"/>
        <v>0</v>
      </c>
      <c r="W36" s="88">
        <f t="shared" si="7"/>
        <v>0</v>
      </c>
      <c r="X36" s="88">
        <f t="shared" si="8"/>
        <v>1</v>
      </c>
      <c r="Y36" s="88">
        <f t="shared" si="9"/>
        <v>0</v>
      </c>
      <c r="Z36" s="88">
        <f t="shared" si="10"/>
        <v>6</v>
      </c>
      <c r="AD36" s="93"/>
      <c r="AE36" s="93"/>
    </row>
    <row r="37" spans="1:31" ht="20.100000000000001" customHeight="1">
      <c r="A37" s="108">
        <v>26</v>
      </c>
      <c r="B37" s="118" t="s">
        <v>86</v>
      </c>
      <c r="C37" s="122"/>
      <c r="D37" s="26"/>
      <c r="E37" s="26">
        <v>4</v>
      </c>
      <c r="F37" s="26">
        <v>3</v>
      </c>
      <c r="G37" s="26">
        <v>4</v>
      </c>
      <c r="H37" s="26">
        <v>4</v>
      </c>
      <c r="I37" s="26">
        <v>4</v>
      </c>
      <c r="J37" s="26"/>
      <c r="K37" s="26">
        <v>3</v>
      </c>
      <c r="L37" s="26">
        <v>4</v>
      </c>
      <c r="M37" s="96" t="s">
        <v>103</v>
      </c>
      <c r="N37" s="96" t="s">
        <v>98</v>
      </c>
      <c r="O37" s="97" t="s">
        <v>98</v>
      </c>
      <c r="P37" s="89"/>
      <c r="Q37" s="90"/>
      <c r="R37" s="24">
        <f t="shared" si="2"/>
        <v>7</v>
      </c>
      <c r="S37" s="88">
        <f t="shared" si="3"/>
        <v>5</v>
      </c>
      <c r="T37" s="88">
        <f t="shared" si="4"/>
        <v>0</v>
      </c>
      <c r="U37" s="88">
        <f t="shared" si="5"/>
        <v>0</v>
      </c>
      <c r="V37" s="88">
        <f t="shared" si="6"/>
        <v>0</v>
      </c>
      <c r="W37" s="88">
        <f t="shared" si="7"/>
        <v>0</v>
      </c>
      <c r="X37" s="88">
        <f t="shared" si="8"/>
        <v>2</v>
      </c>
      <c r="Y37" s="88">
        <f t="shared" si="9"/>
        <v>0</v>
      </c>
      <c r="Z37" s="88">
        <f t="shared" si="10"/>
        <v>2</v>
      </c>
      <c r="AD37" s="93"/>
      <c r="AE37" s="93"/>
    </row>
    <row r="38" spans="1:31" ht="20.100000000000001" customHeight="1">
      <c r="A38" s="108">
        <v>27</v>
      </c>
      <c r="B38" s="118" t="s">
        <v>87</v>
      </c>
      <c r="C38" s="122"/>
      <c r="D38" s="26"/>
      <c r="E38" s="26">
        <v>5</v>
      </c>
      <c r="F38" s="26">
        <v>3</v>
      </c>
      <c r="G38" s="26" t="s">
        <v>103</v>
      </c>
      <c r="H38" s="26">
        <v>5</v>
      </c>
      <c r="I38" s="26">
        <v>4</v>
      </c>
      <c r="J38" s="26"/>
      <c r="K38" s="26">
        <v>3</v>
      </c>
      <c r="L38" s="26">
        <v>5</v>
      </c>
      <c r="M38" s="96" t="s">
        <v>103</v>
      </c>
      <c r="N38" s="96" t="s">
        <v>98</v>
      </c>
      <c r="O38" s="97" t="s">
        <v>98</v>
      </c>
      <c r="P38" s="89"/>
      <c r="Q38" s="90"/>
      <c r="R38" s="24">
        <f t="shared" si="2"/>
        <v>6</v>
      </c>
      <c r="S38" s="88">
        <f t="shared" si="3"/>
        <v>4</v>
      </c>
      <c r="T38" s="88">
        <f t="shared" si="4"/>
        <v>0</v>
      </c>
      <c r="U38" s="88">
        <f t="shared" si="5"/>
        <v>3</v>
      </c>
      <c r="V38" s="88">
        <f t="shared" si="6"/>
        <v>0</v>
      </c>
      <c r="W38" s="88">
        <f t="shared" si="7"/>
        <v>0</v>
      </c>
      <c r="X38" s="88">
        <f t="shared" si="8"/>
        <v>2</v>
      </c>
      <c r="Y38" s="88">
        <f t="shared" si="9"/>
        <v>0</v>
      </c>
      <c r="Z38" s="88">
        <f t="shared" si="10"/>
        <v>3</v>
      </c>
      <c r="AD38" s="93"/>
      <c r="AE38" s="93"/>
    </row>
    <row r="39" spans="1:31" ht="20.100000000000001" customHeight="1">
      <c r="A39" s="108">
        <v>28</v>
      </c>
      <c r="B39" s="118" t="s">
        <v>88</v>
      </c>
      <c r="C39" s="122"/>
      <c r="D39" s="26"/>
      <c r="E39" s="26">
        <v>3</v>
      </c>
      <c r="F39" s="26">
        <v>3</v>
      </c>
      <c r="G39" s="26" t="s">
        <v>103</v>
      </c>
      <c r="H39" s="26">
        <v>5</v>
      </c>
      <c r="I39" s="26">
        <v>4</v>
      </c>
      <c r="J39" s="26"/>
      <c r="K39" s="26"/>
      <c r="L39" s="26">
        <v>4</v>
      </c>
      <c r="M39" s="96">
        <v>3</v>
      </c>
      <c r="N39" s="96" t="s">
        <v>98</v>
      </c>
      <c r="O39" s="97" t="s">
        <v>98</v>
      </c>
      <c r="P39" s="89"/>
      <c r="Q39" s="90"/>
      <c r="R39" s="24">
        <f t="shared" si="2"/>
        <v>6</v>
      </c>
      <c r="S39" s="88">
        <f t="shared" si="3"/>
        <v>3</v>
      </c>
      <c r="T39" s="88">
        <f t="shared" si="4"/>
        <v>0</v>
      </c>
      <c r="U39" s="88">
        <f t="shared" si="5"/>
        <v>1</v>
      </c>
      <c r="V39" s="88">
        <f t="shared" si="6"/>
        <v>0</v>
      </c>
      <c r="W39" s="88">
        <f t="shared" si="7"/>
        <v>0</v>
      </c>
      <c r="X39" s="88">
        <f t="shared" si="8"/>
        <v>3</v>
      </c>
      <c r="Y39" s="88">
        <f t="shared" si="9"/>
        <v>0</v>
      </c>
      <c r="Z39" s="88">
        <f t="shared" si="10"/>
        <v>3</v>
      </c>
      <c r="AD39" s="93"/>
      <c r="AE39" s="93"/>
    </row>
    <row r="40" spans="1:31" ht="20.100000000000001" customHeight="1">
      <c r="A40" s="108">
        <v>29</v>
      </c>
      <c r="B40" s="118" t="s">
        <v>89</v>
      </c>
      <c r="C40" s="122"/>
      <c r="D40" s="26"/>
      <c r="E40" s="26">
        <v>4</v>
      </c>
      <c r="F40" s="26" t="s">
        <v>103</v>
      </c>
      <c r="G40" s="26">
        <v>4</v>
      </c>
      <c r="H40" s="26">
        <v>3</v>
      </c>
      <c r="I40" s="26" t="s">
        <v>103</v>
      </c>
      <c r="J40" s="26"/>
      <c r="K40" s="26">
        <v>2</v>
      </c>
      <c r="L40" s="26">
        <v>2</v>
      </c>
      <c r="M40" s="96" t="s">
        <v>103</v>
      </c>
      <c r="N40" s="96" t="s">
        <v>98</v>
      </c>
      <c r="O40" s="97" t="s">
        <v>98</v>
      </c>
      <c r="P40" s="89"/>
      <c r="Q40" s="90"/>
      <c r="R40" s="24">
        <f t="shared" si="2"/>
        <v>3</v>
      </c>
      <c r="S40" s="88">
        <f t="shared" si="3"/>
        <v>2</v>
      </c>
      <c r="T40" s="88">
        <f t="shared" si="4"/>
        <v>0</v>
      </c>
      <c r="U40" s="88">
        <f t="shared" si="5"/>
        <v>0</v>
      </c>
      <c r="V40" s="88">
        <f t="shared" si="6"/>
        <v>0</v>
      </c>
      <c r="W40" s="88">
        <f t="shared" si="7"/>
        <v>0</v>
      </c>
      <c r="X40" s="88">
        <f t="shared" si="8"/>
        <v>1</v>
      </c>
      <c r="Y40" s="88">
        <f t="shared" si="9"/>
        <v>0</v>
      </c>
      <c r="Z40" s="88">
        <f t="shared" si="10"/>
        <v>6</v>
      </c>
      <c r="AD40" s="93"/>
      <c r="AE40" s="93"/>
    </row>
    <row r="41" spans="1:31" ht="20.100000000000001" customHeight="1">
      <c r="A41" s="108">
        <v>30</v>
      </c>
      <c r="B41" s="118" t="s">
        <v>90</v>
      </c>
      <c r="C41" s="122"/>
      <c r="D41" s="26"/>
      <c r="E41" s="26">
        <v>4</v>
      </c>
      <c r="F41" s="26">
        <v>3</v>
      </c>
      <c r="G41" s="26" t="s">
        <v>103</v>
      </c>
      <c r="H41" s="26">
        <v>3</v>
      </c>
      <c r="I41" s="26">
        <v>2</v>
      </c>
      <c r="J41" s="26"/>
      <c r="K41" s="26"/>
      <c r="L41" s="26">
        <v>4</v>
      </c>
      <c r="M41" s="96">
        <v>4</v>
      </c>
      <c r="N41" s="96" t="s">
        <v>98</v>
      </c>
      <c r="O41" s="97" t="s">
        <v>98</v>
      </c>
      <c r="P41" s="89"/>
      <c r="Q41" s="90"/>
      <c r="R41" s="24">
        <f t="shared" si="2"/>
        <v>5</v>
      </c>
      <c r="S41" s="88">
        <f t="shared" si="3"/>
        <v>3</v>
      </c>
      <c r="T41" s="88">
        <f t="shared" si="4"/>
        <v>0</v>
      </c>
      <c r="U41" s="88">
        <f t="shared" si="5"/>
        <v>0</v>
      </c>
      <c r="V41" s="88">
        <f t="shared" si="6"/>
        <v>0</v>
      </c>
      <c r="W41" s="88">
        <f t="shared" si="7"/>
        <v>0</v>
      </c>
      <c r="X41" s="88">
        <f t="shared" si="8"/>
        <v>2</v>
      </c>
      <c r="Y41" s="88">
        <f t="shared" si="9"/>
        <v>0</v>
      </c>
      <c r="Z41" s="88">
        <f t="shared" si="10"/>
        <v>4</v>
      </c>
      <c r="AD41" s="93"/>
      <c r="AE41" s="93"/>
    </row>
    <row r="42" spans="1:31" ht="20.100000000000001" customHeight="1" thickBot="1">
      <c r="A42" s="108">
        <v>31</v>
      </c>
      <c r="B42" s="118" t="s">
        <v>91</v>
      </c>
      <c r="C42" s="123"/>
      <c r="D42" s="26"/>
      <c r="E42" s="26">
        <v>2</v>
      </c>
      <c r="F42" s="26">
        <v>2</v>
      </c>
      <c r="G42" s="26" t="s">
        <v>103</v>
      </c>
      <c r="H42" s="26">
        <v>4</v>
      </c>
      <c r="I42" s="26" t="s">
        <v>103</v>
      </c>
      <c r="J42" s="26"/>
      <c r="K42" s="26">
        <v>2</v>
      </c>
      <c r="L42" s="26">
        <v>2</v>
      </c>
      <c r="M42" s="96">
        <v>3</v>
      </c>
      <c r="N42" s="96" t="s">
        <v>98</v>
      </c>
      <c r="O42" s="97" t="s">
        <v>98</v>
      </c>
      <c r="P42" s="89"/>
      <c r="Q42" s="90"/>
      <c r="R42" s="24">
        <f t="shared" si="2"/>
        <v>2</v>
      </c>
      <c r="S42" s="88">
        <f t="shared" si="3"/>
        <v>1</v>
      </c>
      <c r="T42" s="88">
        <f t="shared" si="4"/>
        <v>0</v>
      </c>
      <c r="U42" s="88">
        <f t="shared" si="5"/>
        <v>0</v>
      </c>
      <c r="V42" s="88">
        <f t="shared" si="6"/>
        <v>0</v>
      </c>
      <c r="W42" s="88">
        <f t="shared" si="7"/>
        <v>0</v>
      </c>
      <c r="X42" s="88">
        <f t="shared" si="8"/>
        <v>1</v>
      </c>
      <c r="Y42" s="88">
        <f t="shared" si="9"/>
        <v>0</v>
      </c>
      <c r="Z42" s="88">
        <f t="shared" si="10"/>
        <v>7</v>
      </c>
      <c r="AD42" s="93"/>
      <c r="AE42" s="93"/>
    </row>
    <row r="43" spans="1:31" ht="20.100000000000001" customHeight="1">
      <c r="A43" s="150" t="s">
        <v>4</v>
      </c>
      <c r="B43" s="151"/>
      <c r="C43" s="70">
        <f t="shared" ref="C43:O43" si="11">COUNTIF(C12:C42,5)+COUNTIF(C12:O12,"зач.")+COUNTIF(C12:O12,"зачёт")+COUNTIF(C12:O12,"зачтено")</f>
        <v>0</v>
      </c>
      <c r="D43" s="70">
        <f t="shared" si="11"/>
        <v>0</v>
      </c>
      <c r="E43" s="70">
        <f t="shared" si="11"/>
        <v>9</v>
      </c>
      <c r="F43" s="70">
        <f t="shared" si="11"/>
        <v>3</v>
      </c>
      <c r="G43" s="70">
        <f t="shared" si="11"/>
        <v>8</v>
      </c>
      <c r="H43" s="70">
        <f t="shared" si="11"/>
        <v>18</v>
      </c>
      <c r="I43" s="70">
        <f t="shared" si="11"/>
        <v>1</v>
      </c>
      <c r="J43" s="70">
        <f t="shared" si="11"/>
        <v>0</v>
      </c>
      <c r="K43" s="70">
        <f t="shared" si="11"/>
        <v>3</v>
      </c>
      <c r="L43" s="70">
        <f t="shared" si="11"/>
        <v>3</v>
      </c>
      <c r="M43" s="70">
        <f t="shared" si="11"/>
        <v>0</v>
      </c>
      <c r="N43" s="70">
        <f t="shared" si="11"/>
        <v>0</v>
      </c>
      <c r="O43" s="70">
        <f t="shared" si="11"/>
        <v>0</v>
      </c>
      <c r="P43" s="152"/>
      <c r="Q43" s="153"/>
      <c r="AD43" s="93"/>
      <c r="AE43" s="93"/>
    </row>
    <row r="44" spans="1:31" ht="20.100000000000001" customHeight="1">
      <c r="A44" s="133" t="s">
        <v>5</v>
      </c>
      <c r="B44" s="134"/>
      <c r="C44" s="57">
        <f t="shared" ref="C44:O44" si="12">COUNTIF(C12:C42,4)</f>
        <v>0</v>
      </c>
      <c r="D44" s="57">
        <f t="shared" si="12"/>
        <v>0</v>
      </c>
      <c r="E44" s="57">
        <f t="shared" si="12"/>
        <v>16</v>
      </c>
      <c r="F44" s="57">
        <f t="shared" si="12"/>
        <v>15</v>
      </c>
      <c r="G44" s="57">
        <f t="shared" si="12"/>
        <v>10</v>
      </c>
      <c r="H44" s="57">
        <f t="shared" si="12"/>
        <v>7</v>
      </c>
      <c r="I44" s="57">
        <f t="shared" si="12"/>
        <v>18</v>
      </c>
      <c r="J44" s="57">
        <f t="shared" si="12"/>
        <v>0</v>
      </c>
      <c r="K44" s="57">
        <f t="shared" si="12"/>
        <v>14</v>
      </c>
      <c r="L44" s="57">
        <f t="shared" si="12"/>
        <v>25</v>
      </c>
      <c r="M44" s="57">
        <f t="shared" si="12"/>
        <v>16</v>
      </c>
      <c r="N44" s="57">
        <f t="shared" si="12"/>
        <v>0</v>
      </c>
      <c r="O44" s="57">
        <f t="shared" si="12"/>
        <v>0</v>
      </c>
      <c r="P44" s="135"/>
      <c r="Q44" s="136"/>
      <c r="AD44" s="93"/>
      <c r="AE44" s="93"/>
    </row>
    <row r="45" spans="1:31" ht="20.100000000000001" customHeight="1">
      <c r="A45" s="133" t="s">
        <v>0</v>
      </c>
      <c r="B45" s="134" t="s">
        <v>0</v>
      </c>
      <c r="C45" s="57">
        <f t="shared" ref="C45:O45" si="13">COUNTIF(C12:C42,3)</f>
        <v>0</v>
      </c>
      <c r="D45" s="57">
        <f t="shared" si="13"/>
        <v>0</v>
      </c>
      <c r="E45" s="57">
        <f t="shared" si="13"/>
        <v>2</v>
      </c>
      <c r="F45" s="57">
        <f t="shared" si="13"/>
        <v>5</v>
      </c>
      <c r="G45" s="57">
        <f t="shared" si="13"/>
        <v>0</v>
      </c>
      <c r="H45" s="57">
        <f t="shared" si="13"/>
        <v>2</v>
      </c>
      <c r="I45" s="57">
        <f t="shared" si="13"/>
        <v>3</v>
      </c>
      <c r="J45" s="57">
        <f t="shared" si="13"/>
        <v>0</v>
      </c>
      <c r="K45" s="57">
        <f t="shared" si="13"/>
        <v>7</v>
      </c>
      <c r="L45" s="57">
        <f t="shared" si="13"/>
        <v>0</v>
      </c>
      <c r="M45" s="57">
        <f t="shared" si="13"/>
        <v>5</v>
      </c>
      <c r="N45" s="57">
        <f t="shared" si="13"/>
        <v>0</v>
      </c>
      <c r="O45" s="57">
        <f t="shared" si="13"/>
        <v>0</v>
      </c>
      <c r="P45" s="135"/>
      <c r="Q45" s="136"/>
      <c r="AD45" s="93"/>
      <c r="AE45" s="93"/>
    </row>
    <row r="46" spans="1:31" ht="20.100000000000001" customHeight="1">
      <c r="A46" s="133" t="s">
        <v>1</v>
      </c>
      <c r="B46" s="134" t="s">
        <v>1</v>
      </c>
      <c r="C46" s="57">
        <f t="shared" ref="C46:O46" si="14">COUNTIF(C12:C42,2)</f>
        <v>0</v>
      </c>
      <c r="D46" s="57">
        <f t="shared" si="14"/>
        <v>0</v>
      </c>
      <c r="E46" s="57">
        <f t="shared" si="14"/>
        <v>4</v>
      </c>
      <c r="F46" s="57">
        <f t="shared" si="14"/>
        <v>4</v>
      </c>
      <c r="G46" s="57">
        <f t="shared" si="14"/>
        <v>2</v>
      </c>
      <c r="H46" s="57">
        <f t="shared" si="14"/>
        <v>0</v>
      </c>
      <c r="I46" s="57">
        <f t="shared" si="14"/>
        <v>4</v>
      </c>
      <c r="J46" s="57">
        <f t="shared" si="14"/>
        <v>0</v>
      </c>
      <c r="K46" s="57">
        <f t="shared" si="14"/>
        <v>4</v>
      </c>
      <c r="L46" s="57">
        <f t="shared" si="14"/>
        <v>2</v>
      </c>
      <c r="M46" s="57">
        <f t="shared" si="14"/>
        <v>0</v>
      </c>
      <c r="N46" s="57">
        <f t="shared" si="14"/>
        <v>0</v>
      </c>
      <c r="O46" s="57">
        <f t="shared" si="14"/>
        <v>0</v>
      </c>
      <c r="P46" s="135"/>
      <c r="Q46" s="136"/>
      <c r="AD46" s="93"/>
      <c r="AE46" s="93"/>
    </row>
    <row r="47" spans="1:31" ht="20.100000000000001" customHeight="1">
      <c r="A47" s="133" t="s">
        <v>6</v>
      </c>
      <c r="B47" s="134" t="s">
        <v>6</v>
      </c>
      <c r="C47" s="57">
        <f>$C$50-SUM(C43:C45)</f>
        <v>31</v>
      </c>
      <c r="D47" s="57">
        <f t="shared" ref="D47:O47" si="15">$C$50-SUM(D43:D45)</f>
        <v>31</v>
      </c>
      <c r="E47" s="57">
        <f t="shared" si="15"/>
        <v>4</v>
      </c>
      <c r="F47" s="57">
        <f t="shared" si="15"/>
        <v>8</v>
      </c>
      <c r="G47" s="57">
        <f t="shared" si="15"/>
        <v>13</v>
      </c>
      <c r="H47" s="57">
        <f t="shared" si="15"/>
        <v>4</v>
      </c>
      <c r="I47" s="57">
        <f t="shared" si="15"/>
        <v>9</v>
      </c>
      <c r="J47" s="57">
        <f t="shared" si="15"/>
        <v>31</v>
      </c>
      <c r="K47" s="57">
        <f t="shared" si="15"/>
        <v>7</v>
      </c>
      <c r="L47" s="57">
        <f t="shared" si="15"/>
        <v>3</v>
      </c>
      <c r="M47" s="57">
        <f t="shared" si="15"/>
        <v>10</v>
      </c>
      <c r="N47" s="57">
        <f t="shared" si="15"/>
        <v>31</v>
      </c>
      <c r="O47" s="57">
        <f t="shared" si="15"/>
        <v>31</v>
      </c>
      <c r="P47" s="135"/>
      <c r="Q47" s="136"/>
      <c r="AD47" s="93"/>
      <c r="AE47" s="93"/>
    </row>
    <row r="48" spans="1:31" ht="20.100000000000001" customHeight="1">
      <c r="A48" s="133" t="s">
        <v>7</v>
      </c>
      <c r="B48" s="134" t="s">
        <v>7</v>
      </c>
      <c r="C48" s="58">
        <f t="shared" ref="C48:O48" si="16">(C43+C44+C45)/$C$50</f>
        <v>0</v>
      </c>
      <c r="D48" s="58">
        <f t="shared" si="16"/>
        <v>0</v>
      </c>
      <c r="E48" s="58">
        <f t="shared" si="16"/>
        <v>0.87096774193548387</v>
      </c>
      <c r="F48" s="58">
        <f t="shared" si="16"/>
        <v>0.74193548387096775</v>
      </c>
      <c r="G48" s="58">
        <f t="shared" si="16"/>
        <v>0.58064516129032262</v>
      </c>
      <c r="H48" s="58">
        <f t="shared" si="16"/>
        <v>0.87096774193548387</v>
      </c>
      <c r="I48" s="58">
        <f t="shared" si="16"/>
        <v>0.70967741935483875</v>
      </c>
      <c r="J48" s="58">
        <f t="shared" si="16"/>
        <v>0</v>
      </c>
      <c r="K48" s="58">
        <f t="shared" si="16"/>
        <v>0.77419354838709675</v>
      </c>
      <c r="L48" s="58">
        <f t="shared" si="16"/>
        <v>0.90322580645161288</v>
      </c>
      <c r="M48" s="58">
        <f t="shared" si="16"/>
        <v>0.67741935483870963</v>
      </c>
      <c r="N48" s="58">
        <f t="shared" si="16"/>
        <v>0</v>
      </c>
      <c r="O48" s="58">
        <f t="shared" si="16"/>
        <v>0</v>
      </c>
      <c r="P48" s="135"/>
      <c r="Q48" s="136"/>
      <c r="AD48" s="93"/>
      <c r="AE48" s="93"/>
    </row>
    <row r="49" spans="1:31" ht="20.100000000000001" customHeight="1" thickBot="1">
      <c r="A49" s="140" t="s">
        <v>8</v>
      </c>
      <c r="B49" s="141" t="s">
        <v>8</v>
      </c>
      <c r="C49" s="59">
        <f t="shared" ref="C49:O49" si="17">(C43+C44)/$C$50</f>
        <v>0</v>
      </c>
      <c r="D49" s="59">
        <f t="shared" si="17"/>
        <v>0</v>
      </c>
      <c r="E49" s="59">
        <f t="shared" si="17"/>
        <v>0.80645161290322576</v>
      </c>
      <c r="F49" s="59">
        <f t="shared" si="17"/>
        <v>0.58064516129032262</v>
      </c>
      <c r="G49" s="59">
        <f t="shared" si="17"/>
        <v>0.58064516129032262</v>
      </c>
      <c r="H49" s="59">
        <f t="shared" si="17"/>
        <v>0.80645161290322576</v>
      </c>
      <c r="I49" s="59">
        <f t="shared" si="17"/>
        <v>0.61290322580645162</v>
      </c>
      <c r="J49" s="59">
        <f t="shared" si="17"/>
        <v>0</v>
      </c>
      <c r="K49" s="59">
        <f t="shared" si="17"/>
        <v>0.54838709677419351</v>
      </c>
      <c r="L49" s="59">
        <f t="shared" si="17"/>
        <v>0.90322580645161288</v>
      </c>
      <c r="M49" s="59">
        <f t="shared" si="17"/>
        <v>0.5161290322580645</v>
      </c>
      <c r="N49" s="59">
        <f t="shared" si="17"/>
        <v>0</v>
      </c>
      <c r="O49" s="59">
        <f t="shared" si="17"/>
        <v>0</v>
      </c>
      <c r="P49" s="142"/>
      <c r="Q49" s="143"/>
      <c r="AD49" s="93"/>
      <c r="AE49" s="93"/>
    </row>
    <row r="50" spans="1:31" ht="31.5" customHeight="1">
      <c r="A50" s="17"/>
      <c r="B50" s="17" t="s">
        <v>15</v>
      </c>
      <c r="C50" s="27">
        <f>COUNTA(B12:B42)</f>
        <v>31</v>
      </c>
      <c r="D50" s="17"/>
      <c r="E50"/>
      <c r="F50"/>
      <c r="G50"/>
      <c r="H50"/>
      <c r="I50"/>
      <c r="J50"/>
      <c r="K50"/>
      <c r="L50"/>
      <c r="M50"/>
      <c r="N50"/>
      <c r="O50"/>
      <c r="AD50" s="93"/>
      <c r="AE50" s="93"/>
    </row>
    <row r="51" spans="1:31" ht="15" customHeight="1">
      <c r="A51" s="13"/>
      <c r="B51" s="13" t="s">
        <v>12</v>
      </c>
      <c r="C51" s="18">
        <f>C50</f>
        <v>31</v>
      </c>
      <c r="D51" s="19"/>
      <c r="E51"/>
      <c r="F51"/>
      <c r="G51"/>
      <c r="H51"/>
      <c r="I51"/>
      <c r="J51"/>
      <c r="K51"/>
      <c r="L51"/>
      <c r="M51"/>
      <c r="N51"/>
      <c r="O51"/>
      <c r="AD51" s="93"/>
      <c r="AE51" s="93"/>
    </row>
    <row r="52" spans="1:31" ht="15" customHeight="1">
      <c r="A52" s="13"/>
      <c r="B52" s="13" t="s">
        <v>16</v>
      </c>
      <c r="C52" s="16">
        <v>17</v>
      </c>
      <c r="D52" s="20">
        <f t="shared" ref="D52:D58" si="18">C52/$C$51</f>
        <v>0.54838709677419351</v>
      </c>
      <c r="E52"/>
      <c r="F52"/>
      <c r="G52"/>
      <c r="H52"/>
      <c r="I52"/>
      <c r="J52"/>
      <c r="K52"/>
      <c r="L52"/>
      <c r="M52"/>
      <c r="N52"/>
      <c r="O52"/>
    </row>
    <row r="53" spans="1:31" ht="15" customHeight="1">
      <c r="A53" s="13"/>
      <c r="B53" s="13" t="s">
        <v>17</v>
      </c>
      <c r="C53" s="18">
        <v>0</v>
      </c>
      <c r="D53" s="20">
        <f t="shared" si="18"/>
        <v>0</v>
      </c>
      <c r="E53"/>
      <c r="F53"/>
      <c r="G53"/>
      <c r="H53"/>
      <c r="I53"/>
      <c r="J53"/>
      <c r="K53"/>
      <c r="L53"/>
      <c r="M53"/>
      <c r="N53"/>
      <c r="O53"/>
    </row>
    <row r="54" spans="1:31" ht="15" customHeight="1">
      <c r="A54" s="13"/>
      <c r="B54" s="13" t="s">
        <v>18</v>
      </c>
      <c r="C54" s="18">
        <v>9</v>
      </c>
      <c r="D54" s="20">
        <f t="shared" si="18"/>
        <v>0.29032258064516131</v>
      </c>
      <c r="E54"/>
      <c r="F54"/>
      <c r="G54"/>
      <c r="H54"/>
      <c r="I54"/>
      <c r="J54"/>
      <c r="K54"/>
      <c r="L54"/>
      <c r="M54"/>
      <c r="N54"/>
      <c r="O54"/>
    </row>
    <row r="55" spans="1:31" ht="15" customHeight="1">
      <c r="A55" s="13"/>
      <c r="B55" s="13" t="s">
        <v>19</v>
      </c>
      <c r="C55" s="18">
        <v>9</v>
      </c>
      <c r="D55" s="20">
        <f t="shared" si="18"/>
        <v>0.29032258064516131</v>
      </c>
      <c r="E55"/>
      <c r="F55"/>
      <c r="G55"/>
      <c r="H55"/>
      <c r="I55"/>
      <c r="J55"/>
      <c r="K55"/>
      <c r="L55"/>
      <c r="M55"/>
      <c r="N55"/>
      <c r="O55"/>
    </row>
    <row r="56" spans="1:31" ht="32.25" customHeight="1">
      <c r="A56" s="13"/>
      <c r="B56" s="13" t="s">
        <v>20</v>
      </c>
      <c r="C56" s="55">
        <v>14</v>
      </c>
      <c r="D56" s="56">
        <f t="shared" si="18"/>
        <v>0.45161290322580644</v>
      </c>
      <c r="E56"/>
      <c r="F56"/>
      <c r="G56"/>
      <c r="H56"/>
      <c r="I56"/>
      <c r="J56"/>
      <c r="K56"/>
      <c r="L56"/>
      <c r="M56"/>
      <c r="N56"/>
      <c r="O56"/>
    </row>
    <row r="57" spans="1:31" ht="28.5" customHeight="1">
      <c r="A57" s="13"/>
      <c r="B57" s="13" t="s">
        <v>21</v>
      </c>
      <c r="C57" s="18">
        <v>7</v>
      </c>
      <c r="D57" s="20">
        <f t="shared" si="18"/>
        <v>0.22580645161290322</v>
      </c>
      <c r="E57"/>
      <c r="F57"/>
      <c r="G57"/>
      <c r="H57"/>
      <c r="I57"/>
      <c r="J57"/>
      <c r="K57"/>
      <c r="L57"/>
      <c r="M57"/>
      <c r="N57"/>
      <c r="O57"/>
    </row>
    <row r="58" spans="1:31" ht="28.5" customHeight="1">
      <c r="A58" s="14"/>
      <c r="B58" s="15" t="s">
        <v>22</v>
      </c>
      <c r="C58" s="55">
        <v>5</v>
      </c>
      <c r="D58" s="56">
        <f t="shared" si="18"/>
        <v>0.16129032258064516</v>
      </c>
      <c r="E58"/>
      <c r="F58"/>
      <c r="G58"/>
      <c r="H58"/>
      <c r="I58"/>
      <c r="J58"/>
      <c r="K58"/>
      <c r="L58"/>
      <c r="M58"/>
      <c r="N58"/>
      <c r="O58"/>
    </row>
    <row r="59" spans="1:31" ht="30" customHeight="1">
      <c r="A59" s="14"/>
      <c r="B59" s="15" t="s">
        <v>23</v>
      </c>
      <c r="C59" s="13"/>
      <c r="D59" s="13"/>
      <c r="E59"/>
      <c r="F59"/>
      <c r="G59"/>
      <c r="H59"/>
      <c r="I59"/>
      <c r="J59"/>
      <c r="K59"/>
      <c r="L59"/>
      <c r="M59"/>
      <c r="N59"/>
      <c r="O59"/>
    </row>
    <row r="60" spans="1:31" ht="15" customHeight="1">
      <c r="A60" s="25"/>
      <c r="B60" s="137" t="s">
        <v>112</v>
      </c>
      <c r="C60" s="137"/>
      <c r="D60" s="137"/>
      <c r="E60"/>
      <c r="F60"/>
      <c r="G60"/>
      <c r="H60"/>
      <c r="I60"/>
      <c r="J60"/>
      <c r="K60"/>
      <c r="L60"/>
      <c r="M60"/>
      <c r="N60"/>
      <c r="O60"/>
    </row>
    <row r="61" spans="1:31" ht="15" customHeight="1">
      <c r="A61" s="12"/>
      <c r="B61" s="144" t="s">
        <v>104</v>
      </c>
      <c r="C61" s="144"/>
      <c r="D61" s="144"/>
    </row>
    <row r="62" spans="1:31" ht="15" customHeight="1">
      <c r="A62" s="12"/>
      <c r="B62" s="145" t="s">
        <v>110</v>
      </c>
      <c r="C62" s="145"/>
      <c r="D62" s="145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</row>
    <row r="63" spans="1:31" ht="15" customHeight="1">
      <c r="A63" s="12"/>
      <c r="B63" s="137" t="s">
        <v>105</v>
      </c>
      <c r="C63" s="137"/>
      <c r="D63" s="137"/>
    </row>
    <row r="64" spans="1:31" ht="15" customHeight="1">
      <c r="A64" s="12"/>
      <c r="B64" s="137" t="s">
        <v>106</v>
      </c>
      <c r="C64" s="137"/>
      <c r="D64" s="137"/>
    </row>
    <row r="65" spans="1:29" ht="15" customHeight="1">
      <c r="A65" s="12"/>
      <c r="B65" s="137" t="s">
        <v>111</v>
      </c>
      <c r="C65" s="137"/>
      <c r="D65" s="137"/>
    </row>
    <row r="66" spans="1:29" ht="15" customHeight="1">
      <c r="A66" s="12"/>
      <c r="B66" s="137" t="s">
        <v>107</v>
      </c>
      <c r="C66" s="137"/>
      <c r="D66" s="137"/>
    </row>
    <row r="67" spans="1:29" ht="15" customHeight="1">
      <c r="A67" s="12"/>
      <c r="B67" s="137" t="s">
        <v>108</v>
      </c>
      <c r="C67" s="137"/>
      <c r="D67" s="137"/>
    </row>
    <row r="68" spans="1:29" ht="31.5" customHeight="1">
      <c r="A68" s="12"/>
      <c r="B68" s="21" t="s">
        <v>31</v>
      </c>
      <c r="C68" s="138"/>
      <c r="D68" s="138"/>
      <c r="E68" s="139"/>
      <c r="F68" s="139"/>
      <c r="G68" s="139"/>
      <c r="H68" s="139"/>
    </row>
    <row r="69" spans="1:29" ht="15" customHeight="1">
      <c r="A69" s="12"/>
      <c r="B69" s="9"/>
      <c r="C69" s="22"/>
    </row>
    <row r="70" spans="1:29" ht="15" customHeight="1">
      <c r="A70" s="12"/>
      <c r="B70" s="9"/>
      <c r="C70" s="22"/>
    </row>
    <row r="71" spans="1:29" ht="15" customHeight="1">
      <c r="A71" s="12"/>
      <c r="B71" s="9"/>
      <c r="C71" s="22"/>
    </row>
    <row r="72" spans="1:29" ht="15" customHeight="1">
      <c r="A72" s="12"/>
      <c r="B72" s="9"/>
      <c r="C72" s="22"/>
    </row>
    <row r="73" spans="1:29" ht="15" customHeight="1">
      <c r="A73" s="12"/>
      <c r="B73" s="9"/>
      <c r="C73" s="22"/>
    </row>
    <row r="74" spans="1:29" ht="15" customHeight="1">
      <c r="A74" s="12"/>
      <c r="B74" s="9"/>
      <c r="C74" s="22"/>
    </row>
    <row r="75" spans="1:29" s="7" customFormat="1" ht="15" customHeight="1">
      <c r="A75" s="12"/>
      <c r="B75" s="9"/>
      <c r="C75" s="22"/>
      <c r="P75"/>
      <c r="Q75"/>
      <c r="R75" s="94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</row>
    <row r="76" spans="1:29" s="7" customFormat="1" ht="15" customHeight="1">
      <c r="A76" s="12"/>
      <c r="B76" s="9"/>
      <c r="C76" s="22"/>
      <c r="P76"/>
      <c r="Q76"/>
      <c r="R76" s="94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</row>
    <row r="77" spans="1:29" s="7" customFormat="1" ht="74.25" customHeight="1">
      <c r="A77" s="12"/>
      <c r="B77" s="9"/>
      <c r="C77" s="22"/>
      <c r="P77"/>
      <c r="Q77"/>
      <c r="R77" s="94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</row>
    <row r="78" spans="1:29" s="7" customFormat="1" ht="15" customHeight="1">
      <c r="A78" s="12"/>
      <c r="B78" s="9"/>
      <c r="C78" s="22"/>
      <c r="P78"/>
      <c r="Q78"/>
      <c r="R78" s="94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</row>
    <row r="79" spans="1:29" s="7" customFormat="1" ht="15.6">
      <c r="A79" s="12"/>
      <c r="B79" s="9"/>
      <c r="C79" s="10"/>
      <c r="P79"/>
      <c r="Q79"/>
      <c r="R79" s="94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</row>
    <row r="80" spans="1:29" s="7" customFormat="1" ht="15.6">
      <c r="A80" s="12"/>
      <c r="B80" s="9"/>
      <c r="C80" s="10"/>
      <c r="P80"/>
      <c r="Q80"/>
      <c r="R80" s="94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</row>
    <row r="81" spans="1:29" s="7" customFormat="1" ht="15.6">
      <c r="A81" s="1"/>
      <c r="B81"/>
      <c r="P81"/>
      <c r="Q81"/>
      <c r="R81" s="94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</row>
    <row r="82" spans="1:29" s="7" customFormat="1" ht="15.6">
      <c r="A82" s="1"/>
      <c r="B8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</sheetData>
  <sheetProtection selectLockedCells="1"/>
  <mergeCells count="39"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  <mergeCell ref="A45:B45"/>
    <mergeCell ref="P45:Q45"/>
    <mergeCell ref="P17:Q17"/>
    <mergeCell ref="P18:Q18"/>
    <mergeCell ref="A43:B43"/>
    <mergeCell ref="P43:Q43"/>
    <mergeCell ref="A44:B44"/>
    <mergeCell ref="P44:Q44"/>
    <mergeCell ref="B67:D67"/>
    <mergeCell ref="C68:D68"/>
    <mergeCell ref="E68:H68"/>
    <mergeCell ref="A49:B49"/>
    <mergeCell ref="P49:Q49"/>
    <mergeCell ref="B60:D60"/>
    <mergeCell ref="B63:D63"/>
    <mergeCell ref="B61:D61"/>
    <mergeCell ref="B64:D64"/>
    <mergeCell ref="B65:D65"/>
    <mergeCell ref="B66:D66"/>
    <mergeCell ref="B62:D62"/>
    <mergeCell ref="A46:B46"/>
    <mergeCell ref="P46:Q46"/>
    <mergeCell ref="A47:B47"/>
    <mergeCell ref="P47:Q47"/>
    <mergeCell ref="A48:B48"/>
    <mergeCell ref="P48:Q48"/>
  </mergeCells>
  <conditionalFormatting sqref="F12:O12 D13:O26 D28:O42 C27:O27">
    <cfRule type="cellIs" dxfId="11" priority="13" operator="equal">
      <formula>""</formula>
    </cfRule>
    <cfRule type="cellIs" dxfId="10" priority="14" operator="equal">
      <formula>"н/а"</formula>
    </cfRule>
    <cfRule type="cellIs" dxfId="9" priority="15" operator="equal">
      <formula>2</formula>
    </cfRule>
  </conditionalFormatting>
  <conditionalFormatting sqref="D12">
    <cfRule type="cellIs" dxfId="8" priority="10" operator="equal">
      <formula>""</formula>
    </cfRule>
    <cfRule type="cellIs" dxfId="7" priority="11" operator="equal">
      <formula>"н/а"</formula>
    </cfRule>
    <cfRule type="cellIs" dxfId="6" priority="12" operator="equal">
      <formula>2</formula>
    </cfRule>
  </conditionalFormatting>
  <conditionalFormatting sqref="E12">
    <cfRule type="cellIs" dxfId="5" priority="4" operator="equal">
      <formula>""</formula>
    </cfRule>
    <cfRule type="cellIs" dxfId="4" priority="5" operator="equal">
      <formula>"н/а"</formula>
    </cfRule>
    <cfRule type="cellIs" dxfId="3" priority="6" operator="equal">
      <formula>2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theme="8" tint="0.39997558519241921"/>
    <pageSetUpPr fitToPage="1"/>
  </sheetPr>
  <dimension ref="A1:BQ50"/>
  <sheetViews>
    <sheetView showGridLines="0" zoomScale="77" zoomScaleNormal="77" workbookViewId="0">
      <selection activeCell="BG27" sqref="BG27"/>
    </sheetView>
  </sheetViews>
  <sheetFormatPr defaultRowHeight="13.2"/>
  <cols>
    <col min="1" max="1" width="7.44140625" style="28" customWidth="1"/>
    <col min="2" max="4" width="5.6640625" style="28" customWidth="1"/>
    <col min="5" max="5" width="9" style="28" customWidth="1"/>
    <col min="6" max="7" width="3.6640625" style="28" customWidth="1"/>
    <col min="8" max="8" width="3.5546875" style="28" customWidth="1"/>
    <col min="9" max="55" width="3.6640625" style="28" customWidth="1"/>
    <col min="56" max="56" width="3.5546875" style="28" customWidth="1"/>
    <col min="57" max="57" width="3.6640625" style="28" customWidth="1"/>
    <col min="58" max="60" width="4.109375" style="28" customWidth="1"/>
    <col min="61" max="61" width="9.109375" style="28" customWidth="1"/>
    <col min="62" max="62" width="4.88671875" style="28" customWidth="1"/>
    <col min="63" max="258" width="9.109375" style="28"/>
    <col min="259" max="259" width="4.6640625" style="28" customWidth="1"/>
    <col min="260" max="262" width="5.6640625" style="28" customWidth="1"/>
    <col min="263" max="263" width="9" style="28" customWidth="1"/>
    <col min="264" max="309" width="3.6640625" style="28" customWidth="1"/>
    <col min="310" max="310" width="3.5546875" style="28" customWidth="1"/>
    <col min="311" max="313" width="3.6640625" style="28" customWidth="1"/>
    <col min="314" max="316" width="4.109375" style="28" customWidth="1"/>
    <col min="317" max="317" width="9.109375" style="28" customWidth="1"/>
    <col min="318" max="318" width="4.88671875" style="28" customWidth="1"/>
    <col min="319" max="514" width="9.109375" style="28"/>
    <col min="515" max="515" width="4.6640625" style="28" customWidth="1"/>
    <col min="516" max="518" width="5.6640625" style="28" customWidth="1"/>
    <col min="519" max="519" width="9" style="28" customWidth="1"/>
    <col min="520" max="565" width="3.6640625" style="28" customWidth="1"/>
    <col min="566" max="566" width="3.5546875" style="28" customWidth="1"/>
    <col min="567" max="569" width="3.6640625" style="28" customWidth="1"/>
    <col min="570" max="572" width="4.109375" style="28" customWidth="1"/>
    <col min="573" max="573" width="9.109375" style="28" customWidth="1"/>
    <col min="574" max="574" width="4.88671875" style="28" customWidth="1"/>
    <col min="575" max="770" width="9.109375" style="28"/>
    <col min="771" max="771" width="4.6640625" style="28" customWidth="1"/>
    <col min="772" max="774" width="5.6640625" style="28" customWidth="1"/>
    <col min="775" max="775" width="9" style="28" customWidth="1"/>
    <col min="776" max="821" width="3.6640625" style="28" customWidth="1"/>
    <col min="822" max="822" width="3.5546875" style="28" customWidth="1"/>
    <col min="823" max="825" width="3.6640625" style="28" customWidth="1"/>
    <col min="826" max="828" width="4.109375" style="28" customWidth="1"/>
    <col min="829" max="829" width="9.109375" style="28" customWidth="1"/>
    <col min="830" max="830" width="4.88671875" style="28" customWidth="1"/>
    <col min="831" max="1026" width="9.109375" style="28"/>
    <col min="1027" max="1027" width="4.6640625" style="28" customWidth="1"/>
    <col min="1028" max="1030" width="5.6640625" style="28" customWidth="1"/>
    <col min="1031" max="1031" width="9" style="28" customWidth="1"/>
    <col min="1032" max="1077" width="3.6640625" style="28" customWidth="1"/>
    <col min="1078" max="1078" width="3.5546875" style="28" customWidth="1"/>
    <col min="1079" max="1081" width="3.6640625" style="28" customWidth="1"/>
    <col min="1082" max="1084" width="4.109375" style="28" customWidth="1"/>
    <col min="1085" max="1085" width="9.109375" style="28" customWidth="1"/>
    <col min="1086" max="1086" width="4.88671875" style="28" customWidth="1"/>
    <col min="1087" max="1282" width="9.109375" style="28"/>
    <col min="1283" max="1283" width="4.6640625" style="28" customWidth="1"/>
    <col min="1284" max="1286" width="5.6640625" style="28" customWidth="1"/>
    <col min="1287" max="1287" width="9" style="28" customWidth="1"/>
    <col min="1288" max="1333" width="3.6640625" style="28" customWidth="1"/>
    <col min="1334" max="1334" width="3.5546875" style="28" customWidth="1"/>
    <col min="1335" max="1337" width="3.6640625" style="28" customWidth="1"/>
    <col min="1338" max="1340" width="4.109375" style="28" customWidth="1"/>
    <col min="1341" max="1341" width="9.109375" style="28" customWidth="1"/>
    <col min="1342" max="1342" width="4.88671875" style="28" customWidth="1"/>
    <col min="1343" max="1538" width="9.109375" style="28"/>
    <col min="1539" max="1539" width="4.6640625" style="28" customWidth="1"/>
    <col min="1540" max="1542" width="5.6640625" style="28" customWidth="1"/>
    <col min="1543" max="1543" width="9" style="28" customWidth="1"/>
    <col min="1544" max="1589" width="3.6640625" style="28" customWidth="1"/>
    <col min="1590" max="1590" width="3.5546875" style="28" customWidth="1"/>
    <col min="1591" max="1593" width="3.6640625" style="28" customWidth="1"/>
    <col min="1594" max="1596" width="4.109375" style="28" customWidth="1"/>
    <col min="1597" max="1597" width="9.109375" style="28" customWidth="1"/>
    <col min="1598" max="1598" width="4.88671875" style="28" customWidth="1"/>
    <col min="1599" max="1794" width="9.109375" style="28"/>
    <col min="1795" max="1795" width="4.6640625" style="28" customWidth="1"/>
    <col min="1796" max="1798" width="5.6640625" style="28" customWidth="1"/>
    <col min="1799" max="1799" width="9" style="28" customWidth="1"/>
    <col min="1800" max="1845" width="3.6640625" style="28" customWidth="1"/>
    <col min="1846" max="1846" width="3.5546875" style="28" customWidth="1"/>
    <col min="1847" max="1849" width="3.6640625" style="28" customWidth="1"/>
    <col min="1850" max="1852" width="4.109375" style="28" customWidth="1"/>
    <col min="1853" max="1853" width="9.109375" style="28" customWidth="1"/>
    <col min="1854" max="1854" width="4.88671875" style="28" customWidth="1"/>
    <col min="1855" max="2050" width="9.109375" style="28"/>
    <col min="2051" max="2051" width="4.6640625" style="28" customWidth="1"/>
    <col min="2052" max="2054" width="5.6640625" style="28" customWidth="1"/>
    <col min="2055" max="2055" width="9" style="28" customWidth="1"/>
    <col min="2056" max="2101" width="3.6640625" style="28" customWidth="1"/>
    <col min="2102" max="2102" width="3.5546875" style="28" customWidth="1"/>
    <col min="2103" max="2105" width="3.6640625" style="28" customWidth="1"/>
    <col min="2106" max="2108" width="4.109375" style="28" customWidth="1"/>
    <col min="2109" max="2109" width="9.109375" style="28" customWidth="1"/>
    <col min="2110" max="2110" width="4.88671875" style="28" customWidth="1"/>
    <col min="2111" max="2306" width="9.109375" style="28"/>
    <col min="2307" max="2307" width="4.6640625" style="28" customWidth="1"/>
    <col min="2308" max="2310" width="5.6640625" style="28" customWidth="1"/>
    <col min="2311" max="2311" width="9" style="28" customWidth="1"/>
    <col min="2312" max="2357" width="3.6640625" style="28" customWidth="1"/>
    <col min="2358" max="2358" width="3.5546875" style="28" customWidth="1"/>
    <col min="2359" max="2361" width="3.6640625" style="28" customWidth="1"/>
    <col min="2362" max="2364" width="4.109375" style="28" customWidth="1"/>
    <col min="2365" max="2365" width="9.109375" style="28" customWidth="1"/>
    <col min="2366" max="2366" width="4.88671875" style="28" customWidth="1"/>
    <col min="2367" max="2562" width="9.109375" style="28"/>
    <col min="2563" max="2563" width="4.6640625" style="28" customWidth="1"/>
    <col min="2564" max="2566" width="5.6640625" style="28" customWidth="1"/>
    <col min="2567" max="2567" width="9" style="28" customWidth="1"/>
    <col min="2568" max="2613" width="3.6640625" style="28" customWidth="1"/>
    <col min="2614" max="2614" width="3.5546875" style="28" customWidth="1"/>
    <col min="2615" max="2617" width="3.6640625" style="28" customWidth="1"/>
    <col min="2618" max="2620" width="4.109375" style="28" customWidth="1"/>
    <col min="2621" max="2621" width="9.109375" style="28" customWidth="1"/>
    <col min="2622" max="2622" width="4.88671875" style="28" customWidth="1"/>
    <col min="2623" max="2818" width="9.109375" style="28"/>
    <col min="2819" max="2819" width="4.6640625" style="28" customWidth="1"/>
    <col min="2820" max="2822" width="5.6640625" style="28" customWidth="1"/>
    <col min="2823" max="2823" width="9" style="28" customWidth="1"/>
    <col min="2824" max="2869" width="3.6640625" style="28" customWidth="1"/>
    <col min="2870" max="2870" width="3.5546875" style="28" customWidth="1"/>
    <col min="2871" max="2873" width="3.6640625" style="28" customWidth="1"/>
    <col min="2874" max="2876" width="4.109375" style="28" customWidth="1"/>
    <col min="2877" max="2877" width="9.109375" style="28" customWidth="1"/>
    <col min="2878" max="2878" width="4.88671875" style="28" customWidth="1"/>
    <col min="2879" max="3074" width="9.109375" style="28"/>
    <col min="3075" max="3075" width="4.6640625" style="28" customWidth="1"/>
    <col min="3076" max="3078" width="5.6640625" style="28" customWidth="1"/>
    <col min="3079" max="3079" width="9" style="28" customWidth="1"/>
    <col min="3080" max="3125" width="3.6640625" style="28" customWidth="1"/>
    <col min="3126" max="3126" width="3.5546875" style="28" customWidth="1"/>
    <col min="3127" max="3129" width="3.6640625" style="28" customWidth="1"/>
    <col min="3130" max="3132" width="4.109375" style="28" customWidth="1"/>
    <col min="3133" max="3133" width="9.109375" style="28" customWidth="1"/>
    <col min="3134" max="3134" width="4.88671875" style="28" customWidth="1"/>
    <col min="3135" max="3330" width="9.109375" style="28"/>
    <col min="3331" max="3331" width="4.6640625" style="28" customWidth="1"/>
    <col min="3332" max="3334" width="5.6640625" style="28" customWidth="1"/>
    <col min="3335" max="3335" width="9" style="28" customWidth="1"/>
    <col min="3336" max="3381" width="3.6640625" style="28" customWidth="1"/>
    <col min="3382" max="3382" width="3.5546875" style="28" customWidth="1"/>
    <col min="3383" max="3385" width="3.6640625" style="28" customWidth="1"/>
    <col min="3386" max="3388" width="4.109375" style="28" customWidth="1"/>
    <col min="3389" max="3389" width="9.109375" style="28" customWidth="1"/>
    <col min="3390" max="3390" width="4.88671875" style="28" customWidth="1"/>
    <col min="3391" max="3586" width="9.109375" style="28"/>
    <col min="3587" max="3587" width="4.6640625" style="28" customWidth="1"/>
    <col min="3588" max="3590" width="5.6640625" style="28" customWidth="1"/>
    <col min="3591" max="3591" width="9" style="28" customWidth="1"/>
    <col min="3592" max="3637" width="3.6640625" style="28" customWidth="1"/>
    <col min="3638" max="3638" width="3.5546875" style="28" customWidth="1"/>
    <col min="3639" max="3641" width="3.6640625" style="28" customWidth="1"/>
    <col min="3642" max="3644" width="4.109375" style="28" customWidth="1"/>
    <col min="3645" max="3645" width="9.109375" style="28" customWidth="1"/>
    <col min="3646" max="3646" width="4.88671875" style="28" customWidth="1"/>
    <col min="3647" max="3842" width="9.109375" style="28"/>
    <col min="3843" max="3843" width="4.6640625" style="28" customWidth="1"/>
    <col min="3844" max="3846" width="5.6640625" style="28" customWidth="1"/>
    <col min="3847" max="3847" width="9" style="28" customWidth="1"/>
    <col min="3848" max="3893" width="3.6640625" style="28" customWidth="1"/>
    <col min="3894" max="3894" width="3.5546875" style="28" customWidth="1"/>
    <col min="3895" max="3897" width="3.6640625" style="28" customWidth="1"/>
    <col min="3898" max="3900" width="4.109375" style="28" customWidth="1"/>
    <col min="3901" max="3901" width="9.109375" style="28" customWidth="1"/>
    <col min="3902" max="3902" width="4.88671875" style="28" customWidth="1"/>
    <col min="3903" max="4098" width="9.109375" style="28"/>
    <col min="4099" max="4099" width="4.6640625" style="28" customWidth="1"/>
    <col min="4100" max="4102" width="5.6640625" style="28" customWidth="1"/>
    <col min="4103" max="4103" width="9" style="28" customWidth="1"/>
    <col min="4104" max="4149" width="3.6640625" style="28" customWidth="1"/>
    <col min="4150" max="4150" width="3.5546875" style="28" customWidth="1"/>
    <col min="4151" max="4153" width="3.6640625" style="28" customWidth="1"/>
    <col min="4154" max="4156" width="4.109375" style="28" customWidth="1"/>
    <col min="4157" max="4157" width="9.109375" style="28" customWidth="1"/>
    <col min="4158" max="4158" width="4.88671875" style="28" customWidth="1"/>
    <col min="4159" max="4354" width="9.109375" style="28"/>
    <col min="4355" max="4355" width="4.6640625" style="28" customWidth="1"/>
    <col min="4356" max="4358" width="5.6640625" style="28" customWidth="1"/>
    <col min="4359" max="4359" width="9" style="28" customWidth="1"/>
    <col min="4360" max="4405" width="3.6640625" style="28" customWidth="1"/>
    <col min="4406" max="4406" width="3.5546875" style="28" customWidth="1"/>
    <col min="4407" max="4409" width="3.6640625" style="28" customWidth="1"/>
    <col min="4410" max="4412" width="4.109375" style="28" customWidth="1"/>
    <col min="4413" max="4413" width="9.109375" style="28" customWidth="1"/>
    <col min="4414" max="4414" width="4.88671875" style="28" customWidth="1"/>
    <col min="4415" max="4610" width="9.109375" style="28"/>
    <col min="4611" max="4611" width="4.6640625" style="28" customWidth="1"/>
    <col min="4612" max="4614" width="5.6640625" style="28" customWidth="1"/>
    <col min="4615" max="4615" width="9" style="28" customWidth="1"/>
    <col min="4616" max="4661" width="3.6640625" style="28" customWidth="1"/>
    <col min="4662" max="4662" width="3.5546875" style="28" customWidth="1"/>
    <col min="4663" max="4665" width="3.6640625" style="28" customWidth="1"/>
    <col min="4666" max="4668" width="4.109375" style="28" customWidth="1"/>
    <col min="4669" max="4669" width="9.109375" style="28" customWidth="1"/>
    <col min="4670" max="4670" width="4.88671875" style="28" customWidth="1"/>
    <col min="4671" max="4866" width="9.109375" style="28"/>
    <col min="4867" max="4867" width="4.6640625" style="28" customWidth="1"/>
    <col min="4868" max="4870" width="5.6640625" style="28" customWidth="1"/>
    <col min="4871" max="4871" width="9" style="28" customWidth="1"/>
    <col min="4872" max="4917" width="3.6640625" style="28" customWidth="1"/>
    <col min="4918" max="4918" width="3.5546875" style="28" customWidth="1"/>
    <col min="4919" max="4921" width="3.6640625" style="28" customWidth="1"/>
    <col min="4922" max="4924" width="4.109375" style="28" customWidth="1"/>
    <col min="4925" max="4925" width="9.109375" style="28" customWidth="1"/>
    <col min="4926" max="4926" width="4.88671875" style="28" customWidth="1"/>
    <col min="4927" max="5122" width="9.109375" style="28"/>
    <col min="5123" max="5123" width="4.6640625" style="28" customWidth="1"/>
    <col min="5124" max="5126" width="5.6640625" style="28" customWidth="1"/>
    <col min="5127" max="5127" width="9" style="28" customWidth="1"/>
    <col min="5128" max="5173" width="3.6640625" style="28" customWidth="1"/>
    <col min="5174" max="5174" width="3.5546875" style="28" customWidth="1"/>
    <col min="5175" max="5177" width="3.6640625" style="28" customWidth="1"/>
    <col min="5178" max="5180" width="4.109375" style="28" customWidth="1"/>
    <col min="5181" max="5181" width="9.109375" style="28" customWidth="1"/>
    <col min="5182" max="5182" width="4.88671875" style="28" customWidth="1"/>
    <col min="5183" max="5378" width="9.109375" style="28"/>
    <col min="5379" max="5379" width="4.6640625" style="28" customWidth="1"/>
    <col min="5380" max="5382" width="5.6640625" style="28" customWidth="1"/>
    <col min="5383" max="5383" width="9" style="28" customWidth="1"/>
    <col min="5384" max="5429" width="3.6640625" style="28" customWidth="1"/>
    <col min="5430" max="5430" width="3.5546875" style="28" customWidth="1"/>
    <col min="5431" max="5433" width="3.6640625" style="28" customWidth="1"/>
    <col min="5434" max="5436" width="4.109375" style="28" customWidth="1"/>
    <col min="5437" max="5437" width="9.109375" style="28" customWidth="1"/>
    <col min="5438" max="5438" width="4.88671875" style="28" customWidth="1"/>
    <col min="5439" max="5634" width="9.109375" style="28"/>
    <col min="5635" max="5635" width="4.6640625" style="28" customWidth="1"/>
    <col min="5636" max="5638" width="5.6640625" style="28" customWidth="1"/>
    <col min="5639" max="5639" width="9" style="28" customWidth="1"/>
    <col min="5640" max="5685" width="3.6640625" style="28" customWidth="1"/>
    <col min="5686" max="5686" width="3.5546875" style="28" customWidth="1"/>
    <col min="5687" max="5689" width="3.6640625" style="28" customWidth="1"/>
    <col min="5690" max="5692" width="4.109375" style="28" customWidth="1"/>
    <col min="5693" max="5693" width="9.109375" style="28" customWidth="1"/>
    <col min="5694" max="5694" width="4.88671875" style="28" customWidth="1"/>
    <col min="5695" max="5890" width="9.109375" style="28"/>
    <col min="5891" max="5891" width="4.6640625" style="28" customWidth="1"/>
    <col min="5892" max="5894" width="5.6640625" style="28" customWidth="1"/>
    <col min="5895" max="5895" width="9" style="28" customWidth="1"/>
    <col min="5896" max="5941" width="3.6640625" style="28" customWidth="1"/>
    <col min="5942" max="5942" width="3.5546875" style="28" customWidth="1"/>
    <col min="5943" max="5945" width="3.6640625" style="28" customWidth="1"/>
    <col min="5946" max="5948" width="4.109375" style="28" customWidth="1"/>
    <col min="5949" max="5949" width="9.109375" style="28" customWidth="1"/>
    <col min="5950" max="5950" width="4.88671875" style="28" customWidth="1"/>
    <col min="5951" max="6146" width="9.109375" style="28"/>
    <col min="6147" max="6147" width="4.6640625" style="28" customWidth="1"/>
    <col min="6148" max="6150" width="5.6640625" style="28" customWidth="1"/>
    <col min="6151" max="6151" width="9" style="28" customWidth="1"/>
    <col min="6152" max="6197" width="3.6640625" style="28" customWidth="1"/>
    <col min="6198" max="6198" width="3.5546875" style="28" customWidth="1"/>
    <col min="6199" max="6201" width="3.6640625" style="28" customWidth="1"/>
    <col min="6202" max="6204" width="4.109375" style="28" customWidth="1"/>
    <col min="6205" max="6205" width="9.109375" style="28" customWidth="1"/>
    <col min="6206" max="6206" width="4.88671875" style="28" customWidth="1"/>
    <col min="6207" max="6402" width="9.109375" style="28"/>
    <col min="6403" max="6403" width="4.6640625" style="28" customWidth="1"/>
    <col min="6404" max="6406" width="5.6640625" style="28" customWidth="1"/>
    <col min="6407" max="6407" width="9" style="28" customWidth="1"/>
    <col min="6408" max="6453" width="3.6640625" style="28" customWidth="1"/>
    <col min="6454" max="6454" width="3.5546875" style="28" customWidth="1"/>
    <col min="6455" max="6457" width="3.6640625" style="28" customWidth="1"/>
    <col min="6458" max="6460" width="4.109375" style="28" customWidth="1"/>
    <col min="6461" max="6461" width="9.109375" style="28" customWidth="1"/>
    <col min="6462" max="6462" width="4.88671875" style="28" customWidth="1"/>
    <col min="6463" max="6658" width="9.109375" style="28"/>
    <col min="6659" max="6659" width="4.6640625" style="28" customWidth="1"/>
    <col min="6660" max="6662" width="5.6640625" style="28" customWidth="1"/>
    <col min="6663" max="6663" width="9" style="28" customWidth="1"/>
    <col min="6664" max="6709" width="3.6640625" style="28" customWidth="1"/>
    <col min="6710" max="6710" width="3.5546875" style="28" customWidth="1"/>
    <col min="6711" max="6713" width="3.6640625" style="28" customWidth="1"/>
    <col min="6714" max="6716" width="4.109375" style="28" customWidth="1"/>
    <col min="6717" max="6717" width="9.109375" style="28" customWidth="1"/>
    <col min="6718" max="6718" width="4.88671875" style="28" customWidth="1"/>
    <col min="6719" max="6914" width="9.109375" style="28"/>
    <col min="6915" max="6915" width="4.6640625" style="28" customWidth="1"/>
    <col min="6916" max="6918" width="5.6640625" style="28" customWidth="1"/>
    <col min="6919" max="6919" width="9" style="28" customWidth="1"/>
    <col min="6920" max="6965" width="3.6640625" style="28" customWidth="1"/>
    <col min="6966" max="6966" width="3.5546875" style="28" customWidth="1"/>
    <col min="6967" max="6969" width="3.6640625" style="28" customWidth="1"/>
    <col min="6970" max="6972" width="4.109375" style="28" customWidth="1"/>
    <col min="6973" max="6973" width="9.109375" style="28" customWidth="1"/>
    <col min="6974" max="6974" width="4.88671875" style="28" customWidth="1"/>
    <col min="6975" max="7170" width="9.109375" style="28"/>
    <col min="7171" max="7171" width="4.6640625" style="28" customWidth="1"/>
    <col min="7172" max="7174" width="5.6640625" style="28" customWidth="1"/>
    <col min="7175" max="7175" width="9" style="28" customWidth="1"/>
    <col min="7176" max="7221" width="3.6640625" style="28" customWidth="1"/>
    <col min="7222" max="7222" width="3.5546875" style="28" customWidth="1"/>
    <col min="7223" max="7225" width="3.6640625" style="28" customWidth="1"/>
    <col min="7226" max="7228" width="4.109375" style="28" customWidth="1"/>
    <col min="7229" max="7229" width="9.109375" style="28" customWidth="1"/>
    <col min="7230" max="7230" width="4.88671875" style="28" customWidth="1"/>
    <col min="7231" max="7426" width="9.109375" style="28"/>
    <col min="7427" max="7427" width="4.6640625" style="28" customWidth="1"/>
    <col min="7428" max="7430" width="5.6640625" style="28" customWidth="1"/>
    <col min="7431" max="7431" width="9" style="28" customWidth="1"/>
    <col min="7432" max="7477" width="3.6640625" style="28" customWidth="1"/>
    <col min="7478" max="7478" width="3.5546875" style="28" customWidth="1"/>
    <col min="7479" max="7481" width="3.6640625" style="28" customWidth="1"/>
    <col min="7482" max="7484" width="4.109375" style="28" customWidth="1"/>
    <col min="7485" max="7485" width="9.109375" style="28" customWidth="1"/>
    <col min="7486" max="7486" width="4.88671875" style="28" customWidth="1"/>
    <col min="7487" max="7682" width="9.109375" style="28"/>
    <col min="7683" max="7683" width="4.6640625" style="28" customWidth="1"/>
    <col min="7684" max="7686" width="5.6640625" style="28" customWidth="1"/>
    <col min="7687" max="7687" width="9" style="28" customWidth="1"/>
    <col min="7688" max="7733" width="3.6640625" style="28" customWidth="1"/>
    <col min="7734" max="7734" width="3.5546875" style="28" customWidth="1"/>
    <col min="7735" max="7737" width="3.6640625" style="28" customWidth="1"/>
    <col min="7738" max="7740" width="4.109375" style="28" customWidth="1"/>
    <col min="7741" max="7741" width="9.109375" style="28" customWidth="1"/>
    <col min="7742" max="7742" width="4.88671875" style="28" customWidth="1"/>
    <col min="7743" max="7938" width="9.109375" style="28"/>
    <col min="7939" max="7939" width="4.6640625" style="28" customWidth="1"/>
    <col min="7940" max="7942" width="5.6640625" style="28" customWidth="1"/>
    <col min="7943" max="7943" width="9" style="28" customWidth="1"/>
    <col min="7944" max="7989" width="3.6640625" style="28" customWidth="1"/>
    <col min="7990" max="7990" width="3.5546875" style="28" customWidth="1"/>
    <col min="7991" max="7993" width="3.6640625" style="28" customWidth="1"/>
    <col min="7994" max="7996" width="4.109375" style="28" customWidth="1"/>
    <col min="7997" max="7997" width="9.109375" style="28" customWidth="1"/>
    <col min="7998" max="7998" width="4.88671875" style="28" customWidth="1"/>
    <col min="7999" max="8194" width="9.109375" style="28"/>
    <col min="8195" max="8195" width="4.6640625" style="28" customWidth="1"/>
    <col min="8196" max="8198" width="5.6640625" style="28" customWidth="1"/>
    <col min="8199" max="8199" width="9" style="28" customWidth="1"/>
    <col min="8200" max="8245" width="3.6640625" style="28" customWidth="1"/>
    <col min="8246" max="8246" width="3.5546875" style="28" customWidth="1"/>
    <col min="8247" max="8249" width="3.6640625" style="28" customWidth="1"/>
    <col min="8250" max="8252" width="4.109375" style="28" customWidth="1"/>
    <col min="8253" max="8253" width="9.109375" style="28" customWidth="1"/>
    <col min="8254" max="8254" width="4.88671875" style="28" customWidth="1"/>
    <col min="8255" max="8450" width="9.109375" style="28"/>
    <col min="8451" max="8451" width="4.6640625" style="28" customWidth="1"/>
    <col min="8452" max="8454" width="5.6640625" style="28" customWidth="1"/>
    <col min="8455" max="8455" width="9" style="28" customWidth="1"/>
    <col min="8456" max="8501" width="3.6640625" style="28" customWidth="1"/>
    <col min="8502" max="8502" width="3.5546875" style="28" customWidth="1"/>
    <col min="8503" max="8505" width="3.6640625" style="28" customWidth="1"/>
    <col min="8506" max="8508" width="4.109375" style="28" customWidth="1"/>
    <col min="8509" max="8509" width="9.109375" style="28" customWidth="1"/>
    <col min="8510" max="8510" width="4.88671875" style="28" customWidth="1"/>
    <col min="8511" max="8706" width="9.109375" style="28"/>
    <col min="8707" max="8707" width="4.6640625" style="28" customWidth="1"/>
    <col min="8708" max="8710" width="5.6640625" style="28" customWidth="1"/>
    <col min="8711" max="8711" width="9" style="28" customWidth="1"/>
    <col min="8712" max="8757" width="3.6640625" style="28" customWidth="1"/>
    <col min="8758" max="8758" width="3.5546875" style="28" customWidth="1"/>
    <col min="8759" max="8761" width="3.6640625" style="28" customWidth="1"/>
    <col min="8762" max="8764" width="4.109375" style="28" customWidth="1"/>
    <col min="8765" max="8765" width="9.109375" style="28" customWidth="1"/>
    <col min="8766" max="8766" width="4.88671875" style="28" customWidth="1"/>
    <col min="8767" max="8962" width="9.109375" style="28"/>
    <col min="8963" max="8963" width="4.6640625" style="28" customWidth="1"/>
    <col min="8964" max="8966" width="5.6640625" style="28" customWidth="1"/>
    <col min="8967" max="8967" width="9" style="28" customWidth="1"/>
    <col min="8968" max="9013" width="3.6640625" style="28" customWidth="1"/>
    <col min="9014" max="9014" width="3.5546875" style="28" customWidth="1"/>
    <col min="9015" max="9017" width="3.6640625" style="28" customWidth="1"/>
    <col min="9018" max="9020" width="4.109375" style="28" customWidth="1"/>
    <col min="9021" max="9021" width="9.109375" style="28" customWidth="1"/>
    <col min="9022" max="9022" width="4.88671875" style="28" customWidth="1"/>
    <col min="9023" max="9218" width="9.109375" style="28"/>
    <col min="9219" max="9219" width="4.6640625" style="28" customWidth="1"/>
    <col min="9220" max="9222" width="5.6640625" style="28" customWidth="1"/>
    <col min="9223" max="9223" width="9" style="28" customWidth="1"/>
    <col min="9224" max="9269" width="3.6640625" style="28" customWidth="1"/>
    <col min="9270" max="9270" width="3.5546875" style="28" customWidth="1"/>
    <col min="9271" max="9273" width="3.6640625" style="28" customWidth="1"/>
    <col min="9274" max="9276" width="4.109375" style="28" customWidth="1"/>
    <col min="9277" max="9277" width="9.109375" style="28" customWidth="1"/>
    <col min="9278" max="9278" width="4.88671875" style="28" customWidth="1"/>
    <col min="9279" max="9474" width="9.109375" style="28"/>
    <col min="9475" max="9475" width="4.6640625" style="28" customWidth="1"/>
    <col min="9476" max="9478" width="5.6640625" style="28" customWidth="1"/>
    <col min="9479" max="9479" width="9" style="28" customWidth="1"/>
    <col min="9480" max="9525" width="3.6640625" style="28" customWidth="1"/>
    <col min="9526" max="9526" width="3.5546875" style="28" customWidth="1"/>
    <col min="9527" max="9529" width="3.6640625" style="28" customWidth="1"/>
    <col min="9530" max="9532" width="4.109375" style="28" customWidth="1"/>
    <col min="9533" max="9533" width="9.109375" style="28" customWidth="1"/>
    <col min="9534" max="9534" width="4.88671875" style="28" customWidth="1"/>
    <col min="9535" max="9730" width="9.109375" style="28"/>
    <col min="9731" max="9731" width="4.6640625" style="28" customWidth="1"/>
    <col min="9732" max="9734" width="5.6640625" style="28" customWidth="1"/>
    <col min="9735" max="9735" width="9" style="28" customWidth="1"/>
    <col min="9736" max="9781" width="3.6640625" style="28" customWidth="1"/>
    <col min="9782" max="9782" width="3.5546875" style="28" customWidth="1"/>
    <col min="9783" max="9785" width="3.6640625" style="28" customWidth="1"/>
    <col min="9786" max="9788" width="4.109375" style="28" customWidth="1"/>
    <col min="9789" max="9789" width="9.109375" style="28" customWidth="1"/>
    <col min="9790" max="9790" width="4.88671875" style="28" customWidth="1"/>
    <col min="9791" max="9986" width="9.109375" style="28"/>
    <col min="9987" max="9987" width="4.6640625" style="28" customWidth="1"/>
    <col min="9988" max="9990" width="5.6640625" style="28" customWidth="1"/>
    <col min="9991" max="9991" width="9" style="28" customWidth="1"/>
    <col min="9992" max="10037" width="3.6640625" style="28" customWidth="1"/>
    <col min="10038" max="10038" width="3.5546875" style="28" customWidth="1"/>
    <col min="10039" max="10041" width="3.6640625" style="28" customWidth="1"/>
    <col min="10042" max="10044" width="4.109375" style="28" customWidth="1"/>
    <col min="10045" max="10045" width="9.109375" style="28" customWidth="1"/>
    <col min="10046" max="10046" width="4.88671875" style="28" customWidth="1"/>
    <col min="10047" max="10242" width="9.109375" style="28"/>
    <col min="10243" max="10243" width="4.6640625" style="28" customWidth="1"/>
    <col min="10244" max="10246" width="5.6640625" style="28" customWidth="1"/>
    <col min="10247" max="10247" width="9" style="28" customWidth="1"/>
    <col min="10248" max="10293" width="3.6640625" style="28" customWidth="1"/>
    <col min="10294" max="10294" width="3.5546875" style="28" customWidth="1"/>
    <col min="10295" max="10297" width="3.6640625" style="28" customWidth="1"/>
    <col min="10298" max="10300" width="4.109375" style="28" customWidth="1"/>
    <col min="10301" max="10301" width="9.109375" style="28" customWidth="1"/>
    <col min="10302" max="10302" width="4.88671875" style="28" customWidth="1"/>
    <col min="10303" max="10498" width="9.109375" style="28"/>
    <col min="10499" max="10499" width="4.6640625" style="28" customWidth="1"/>
    <col min="10500" max="10502" width="5.6640625" style="28" customWidth="1"/>
    <col min="10503" max="10503" width="9" style="28" customWidth="1"/>
    <col min="10504" max="10549" width="3.6640625" style="28" customWidth="1"/>
    <col min="10550" max="10550" width="3.5546875" style="28" customWidth="1"/>
    <col min="10551" max="10553" width="3.6640625" style="28" customWidth="1"/>
    <col min="10554" max="10556" width="4.109375" style="28" customWidth="1"/>
    <col min="10557" max="10557" width="9.109375" style="28" customWidth="1"/>
    <col min="10558" max="10558" width="4.88671875" style="28" customWidth="1"/>
    <col min="10559" max="10754" width="9.109375" style="28"/>
    <col min="10755" max="10755" width="4.6640625" style="28" customWidth="1"/>
    <col min="10756" max="10758" width="5.6640625" style="28" customWidth="1"/>
    <col min="10759" max="10759" width="9" style="28" customWidth="1"/>
    <col min="10760" max="10805" width="3.6640625" style="28" customWidth="1"/>
    <col min="10806" max="10806" width="3.5546875" style="28" customWidth="1"/>
    <col min="10807" max="10809" width="3.6640625" style="28" customWidth="1"/>
    <col min="10810" max="10812" width="4.109375" style="28" customWidth="1"/>
    <col min="10813" max="10813" width="9.109375" style="28" customWidth="1"/>
    <col min="10814" max="10814" width="4.88671875" style="28" customWidth="1"/>
    <col min="10815" max="11010" width="9.109375" style="28"/>
    <col min="11011" max="11011" width="4.6640625" style="28" customWidth="1"/>
    <col min="11012" max="11014" width="5.6640625" style="28" customWidth="1"/>
    <col min="11015" max="11015" width="9" style="28" customWidth="1"/>
    <col min="11016" max="11061" width="3.6640625" style="28" customWidth="1"/>
    <col min="11062" max="11062" width="3.5546875" style="28" customWidth="1"/>
    <col min="11063" max="11065" width="3.6640625" style="28" customWidth="1"/>
    <col min="11066" max="11068" width="4.109375" style="28" customWidth="1"/>
    <col min="11069" max="11069" width="9.109375" style="28" customWidth="1"/>
    <col min="11070" max="11070" width="4.88671875" style="28" customWidth="1"/>
    <col min="11071" max="11266" width="9.109375" style="28"/>
    <col min="11267" max="11267" width="4.6640625" style="28" customWidth="1"/>
    <col min="11268" max="11270" width="5.6640625" style="28" customWidth="1"/>
    <col min="11271" max="11271" width="9" style="28" customWidth="1"/>
    <col min="11272" max="11317" width="3.6640625" style="28" customWidth="1"/>
    <col min="11318" max="11318" width="3.5546875" style="28" customWidth="1"/>
    <col min="11319" max="11321" width="3.6640625" style="28" customWidth="1"/>
    <col min="11322" max="11324" width="4.109375" style="28" customWidth="1"/>
    <col min="11325" max="11325" width="9.109375" style="28" customWidth="1"/>
    <col min="11326" max="11326" width="4.88671875" style="28" customWidth="1"/>
    <col min="11327" max="11522" width="9.109375" style="28"/>
    <col min="11523" max="11523" width="4.6640625" style="28" customWidth="1"/>
    <col min="11524" max="11526" width="5.6640625" style="28" customWidth="1"/>
    <col min="11527" max="11527" width="9" style="28" customWidth="1"/>
    <col min="11528" max="11573" width="3.6640625" style="28" customWidth="1"/>
    <col min="11574" max="11574" width="3.5546875" style="28" customWidth="1"/>
    <col min="11575" max="11577" width="3.6640625" style="28" customWidth="1"/>
    <col min="11578" max="11580" width="4.109375" style="28" customWidth="1"/>
    <col min="11581" max="11581" width="9.109375" style="28" customWidth="1"/>
    <col min="11582" max="11582" width="4.88671875" style="28" customWidth="1"/>
    <col min="11583" max="11778" width="9.109375" style="28"/>
    <col min="11779" max="11779" width="4.6640625" style="28" customWidth="1"/>
    <col min="11780" max="11782" width="5.6640625" style="28" customWidth="1"/>
    <col min="11783" max="11783" width="9" style="28" customWidth="1"/>
    <col min="11784" max="11829" width="3.6640625" style="28" customWidth="1"/>
    <col min="11830" max="11830" width="3.5546875" style="28" customWidth="1"/>
    <col min="11831" max="11833" width="3.6640625" style="28" customWidth="1"/>
    <col min="11834" max="11836" width="4.109375" style="28" customWidth="1"/>
    <col min="11837" max="11837" width="9.109375" style="28" customWidth="1"/>
    <col min="11838" max="11838" width="4.88671875" style="28" customWidth="1"/>
    <col min="11839" max="12034" width="9.109375" style="28"/>
    <col min="12035" max="12035" width="4.6640625" style="28" customWidth="1"/>
    <col min="12036" max="12038" width="5.6640625" style="28" customWidth="1"/>
    <col min="12039" max="12039" width="9" style="28" customWidth="1"/>
    <col min="12040" max="12085" width="3.6640625" style="28" customWidth="1"/>
    <col min="12086" max="12086" width="3.5546875" style="28" customWidth="1"/>
    <col min="12087" max="12089" width="3.6640625" style="28" customWidth="1"/>
    <col min="12090" max="12092" width="4.109375" style="28" customWidth="1"/>
    <col min="12093" max="12093" width="9.109375" style="28" customWidth="1"/>
    <col min="12094" max="12094" width="4.88671875" style="28" customWidth="1"/>
    <col min="12095" max="12290" width="9.109375" style="28"/>
    <col min="12291" max="12291" width="4.6640625" style="28" customWidth="1"/>
    <col min="12292" max="12294" width="5.6640625" style="28" customWidth="1"/>
    <col min="12295" max="12295" width="9" style="28" customWidth="1"/>
    <col min="12296" max="12341" width="3.6640625" style="28" customWidth="1"/>
    <col min="12342" max="12342" width="3.5546875" style="28" customWidth="1"/>
    <col min="12343" max="12345" width="3.6640625" style="28" customWidth="1"/>
    <col min="12346" max="12348" width="4.109375" style="28" customWidth="1"/>
    <col min="12349" max="12349" width="9.109375" style="28" customWidth="1"/>
    <col min="12350" max="12350" width="4.88671875" style="28" customWidth="1"/>
    <col min="12351" max="12546" width="9.109375" style="28"/>
    <col min="12547" max="12547" width="4.6640625" style="28" customWidth="1"/>
    <col min="12548" max="12550" width="5.6640625" style="28" customWidth="1"/>
    <col min="12551" max="12551" width="9" style="28" customWidth="1"/>
    <col min="12552" max="12597" width="3.6640625" style="28" customWidth="1"/>
    <col min="12598" max="12598" width="3.5546875" style="28" customWidth="1"/>
    <col min="12599" max="12601" width="3.6640625" style="28" customWidth="1"/>
    <col min="12602" max="12604" width="4.109375" style="28" customWidth="1"/>
    <col min="12605" max="12605" width="9.109375" style="28" customWidth="1"/>
    <col min="12606" max="12606" width="4.88671875" style="28" customWidth="1"/>
    <col min="12607" max="12802" width="9.109375" style="28"/>
    <col min="12803" max="12803" width="4.6640625" style="28" customWidth="1"/>
    <col min="12804" max="12806" width="5.6640625" style="28" customWidth="1"/>
    <col min="12807" max="12807" width="9" style="28" customWidth="1"/>
    <col min="12808" max="12853" width="3.6640625" style="28" customWidth="1"/>
    <col min="12854" max="12854" width="3.5546875" style="28" customWidth="1"/>
    <col min="12855" max="12857" width="3.6640625" style="28" customWidth="1"/>
    <col min="12858" max="12860" width="4.109375" style="28" customWidth="1"/>
    <col min="12861" max="12861" width="9.109375" style="28" customWidth="1"/>
    <col min="12862" max="12862" width="4.88671875" style="28" customWidth="1"/>
    <col min="12863" max="13058" width="9.109375" style="28"/>
    <col min="13059" max="13059" width="4.6640625" style="28" customWidth="1"/>
    <col min="13060" max="13062" width="5.6640625" style="28" customWidth="1"/>
    <col min="13063" max="13063" width="9" style="28" customWidth="1"/>
    <col min="13064" max="13109" width="3.6640625" style="28" customWidth="1"/>
    <col min="13110" max="13110" width="3.5546875" style="28" customWidth="1"/>
    <col min="13111" max="13113" width="3.6640625" style="28" customWidth="1"/>
    <col min="13114" max="13116" width="4.109375" style="28" customWidth="1"/>
    <col min="13117" max="13117" width="9.109375" style="28" customWidth="1"/>
    <col min="13118" max="13118" width="4.88671875" style="28" customWidth="1"/>
    <col min="13119" max="13314" width="9.109375" style="28"/>
    <col min="13315" max="13315" width="4.6640625" style="28" customWidth="1"/>
    <col min="13316" max="13318" width="5.6640625" style="28" customWidth="1"/>
    <col min="13319" max="13319" width="9" style="28" customWidth="1"/>
    <col min="13320" max="13365" width="3.6640625" style="28" customWidth="1"/>
    <col min="13366" max="13366" width="3.5546875" style="28" customWidth="1"/>
    <col min="13367" max="13369" width="3.6640625" style="28" customWidth="1"/>
    <col min="13370" max="13372" width="4.109375" style="28" customWidth="1"/>
    <col min="13373" max="13373" width="9.109375" style="28" customWidth="1"/>
    <col min="13374" max="13374" width="4.88671875" style="28" customWidth="1"/>
    <col min="13375" max="13570" width="9.109375" style="28"/>
    <col min="13571" max="13571" width="4.6640625" style="28" customWidth="1"/>
    <col min="13572" max="13574" width="5.6640625" style="28" customWidth="1"/>
    <col min="13575" max="13575" width="9" style="28" customWidth="1"/>
    <col min="13576" max="13621" width="3.6640625" style="28" customWidth="1"/>
    <col min="13622" max="13622" width="3.5546875" style="28" customWidth="1"/>
    <col min="13623" max="13625" width="3.6640625" style="28" customWidth="1"/>
    <col min="13626" max="13628" width="4.109375" style="28" customWidth="1"/>
    <col min="13629" max="13629" width="9.109375" style="28" customWidth="1"/>
    <col min="13630" max="13630" width="4.88671875" style="28" customWidth="1"/>
    <col min="13631" max="13826" width="9.109375" style="28"/>
    <col min="13827" max="13827" width="4.6640625" style="28" customWidth="1"/>
    <col min="13828" max="13830" width="5.6640625" style="28" customWidth="1"/>
    <col min="13831" max="13831" width="9" style="28" customWidth="1"/>
    <col min="13832" max="13877" width="3.6640625" style="28" customWidth="1"/>
    <col min="13878" max="13878" width="3.5546875" style="28" customWidth="1"/>
    <col min="13879" max="13881" width="3.6640625" style="28" customWidth="1"/>
    <col min="13882" max="13884" width="4.109375" style="28" customWidth="1"/>
    <col min="13885" max="13885" width="9.109375" style="28" customWidth="1"/>
    <col min="13886" max="13886" width="4.88671875" style="28" customWidth="1"/>
    <col min="13887" max="14082" width="9.109375" style="28"/>
    <col min="14083" max="14083" width="4.6640625" style="28" customWidth="1"/>
    <col min="14084" max="14086" width="5.6640625" style="28" customWidth="1"/>
    <col min="14087" max="14087" width="9" style="28" customWidth="1"/>
    <col min="14088" max="14133" width="3.6640625" style="28" customWidth="1"/>
    <col min="14134" max="14134" width="3.5546875" style="28" customWidth="1"/>
    <col min="14135" max="14137" width="3.6640625" style="28" customWidth="1"/>
    <col min="14138" max="14140" width="4.109375" style="28" customWidth="1"/>
    <col min="14141" max="14141" width="9.109375" style="28" customWidth="1"/>
    <col min="14142" max="14142" width="4.88671875" style="28" customWidth="1"/>
    <col min="14143" max="14338" width="9.109375" style="28"/>
    <col min="14339" max="14339" width="4.6640625" style="28" customWidth="1"/>
    <col min="14340" max="14342" width="5.6640625" style="28" customWidth="1"/>
    <col min="14343" max="14343" width="9" style="28" customWidth="1"/>
    <col min="14344" max="14389" width="3.6640625" style="28" customWidth="1"/>
    <col min="14390" max="14390" width="3.5546875" style="28" customWidth="1"/>
    <col min="14391" max="14393" width="3.6640625" style="28" customWidth="1"/>
    <col min="14394" max="14396" width="4.109375" style="28" customWidth="1"/>
    <col min="14397" max="14397" width="9.109375" style="28" customWidth="1"/>
    <col min="14398" max="14398" width="4.88671875" style="28" customWidth="1"/>
    <col min="14399" max="14594" width="9.109375" style="28"/>
    <col min="14595" max="14595" width="4.6640625" style="28" customWidth="1"/>
    <col min="14596" max="14598" width="5.6640625" style="28" customWidth="1"/>
    <col min="14599" max="14599" width="9" style="28" customWidth="1"/>
    <col min="14600" max="14645" width="3.6640625" style="28" customWidth="1"/>
    <col min="14646" max="14646" width="3.5546875" style="28" customWidth="1"/>
    <col min="14647" max="14649" width="3.6640625" style="28" customWidth="1"/>
    <col min="14650" max="14652" width="4.109375" style="28" customWidth="1"/>
    <col min="14653" max="14653" width="9.109375" style="28" customWidth="1"/>
    <col min="14654" max="14654" width="4.88671875" style="28" customWidth="1"/>
    <col min="14655" max="14850" width="9.109375" style="28"/>
    <col min="14851" max="14851" width="4.6640625" style="28" customWidth="1"/>
    <col min="14852" max="14854" width="5.6640625" style="28" customWidth="1"/>
    <col min="14855" max="14855" width="9" style="28" customWidth="1"/>
    <col min="14856" max="14901" width="3.6640625" style="28" customWidth="1"/>
    <col min="14902" max="14902" width="3.5546875" style="28" customWidth="1"/>
    <col min="14903" max="14905" width="3.6640625" style="28" customWidth="1"/>
    <col min="14906" max="14908" width="4.109375" style="28" customWidth="1"/>
    <col min="14909" max="14909" width="9.109375" style="28" customWidth="1"/>
    <col min="14910" max="14910" width="4.88671875" style="28" customWidth="1"/>
    <col min="14911" max="15106" width="9.109375" style="28"/>
    <col min="15107" max="15107" width="4.6640625" style="28" customWidth="1"/>
    <col min="15108" max="15110" width="5.6640625" style="28" customWidth="1"/>
    <col min="15111" max="15111" width="9" style="28" customWidth="1"/>
    <col min="15112" max="15157" width="3.6640625" style="28" customWidth="1"/>
    <col min="15158" max="15158" width="3.5546875" style="28" customWidth="1"/>
    <col min="15159" max="15161" width="3.6640625" style="28" customWidth="1"/>
    <col min="15162" max="15164" width="4.109375" style="28" customWidth="1"/>
    <col min="15165" max="15165" width="9.109375" style="28" customWidth="1"/>
    <col min="15166" max="15166" width="4.88671875" style="28" customWidth="1"/>
    <col min="15167" max="15362" width="9.109375" style="28"/>
    <col min="15363" max="15363" width="4.6640625" style="28" customWidth="1"/>
    <col min="15364" max="15366" width="5.6640625" style="28" customWidth="1"/>
    <col min="15367" max="15367" width="9" style="28" customWidth="1"/>
    <col min="15368" max="15413" width="3.6640625" style="28" customWidth="1"/>
    <col min="15414" max="15414" width="3.5546875" style="28" customWidth="1"/>
    <col min="15415" max="15417" width="3.6640625" style="28" customWidth="1"/>
    <col min="15418" max="15420" width="4.109375" style="28" customWidth="1"/>
    <col min="15421" max="15421" width="9.109375" style="28" customWidth="1"/>
    <col min="15422" max="15422" width="4.88671875" style="28" customWidth="1"/>
    <col min="15423" max="15618" width="9.109375" style="28"/>
    <col min="15619" max="15619" width="4.6640625" style="28" customWidth="1"/>
    <col min="15620" max="15622" width="5.6640625" style="28" customWidth="1"/>
    <col min="15623" max="15623" width="9" style="28" customWidth="1"/>
    <col min="15624" max="15669" width="3.6640625" style="28" customWidth="1"/>
    <col min="15670" max="15670" width="3.5546875" style="28" customWidth="1"/>
    <col min="15671" max="15673" width="3.6640625" style="28" customWidth="1"/>
    <col min="15674" max="15676" width="4.109375" style="28" customWidth="1"/>
    <col min="15677" max="15677" width="9.109375" style="28" customWidth="1"/>
    <col min="15678" max="15678" width="4.88671875" style="28" customWidth="1"/>
    <col min="15679" max="15874" width="9.109375" style="28"/>
    <col min="15875" max="15875" width="4.6640625" style="28" customWidth="1"/>
    <col min="15876" max="15878" width="5.6640625" style="28" customWidth="1"/>
    <col min="15879" max="15879" width="9" style="28" customWidth="1"/>
    <col min="15880" max="15925" width="3.6640625" style="28" customWidth="1"/>
    <col min="15926" max="15926" width="3.5546875" style="28" customWidth="1"/>
    <col min="15927" max="15929" width="3.6640625" style="28" customWidth="1"/>
    <col min="15930" max="15932" width="4.109375" style="28" customWidth="1"/>
    <col min="15933" max="15933" width="9.109375" style="28" customWidth="1"/>
    <col min="15934" max="15934" width="4.88671875" style="28" customWidth="1"/>
    <col min="15935" max="16130" width="9.109375" style="28"/>
    <col min="16131" max="16131" width="4.6640625" style="28" customWidth="1"/>
    <col min="16132" max="16134" width="5.6640625" style="28" customWidth="1"/>
    <col min="16135" max="16135" width="9" style="28" customWidth="1"/>
    <col min="16136" max="16181" width="3.6640625" style="28" customWidth="1"/>
    <col min="16182" max="16182" width="3.5546875" style="28" customWidth="1"/>
    <col min="16183" max="16185" width="3.6640625" style="28" customWidth="1"/>
    <col min="16186" max="16188" width="4.109375" style="28" customWidth="1"/>
    <col min="16189" max="16189" width="9.109375" style="28" customWidth="1"/>
    <col min="16190" max="16190" width="4.88671875" style="28" customWidth="1"/>
    <col min="16191" max="16384" width="9.109375" style="28"/>
  </cols>
  <sheetData>
    <row r="1" spans="1:69" ht="15.6">
      <c r="A1" s="181" t="s">
        <v>14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80"/>
    </row>
    <row r="2" spans="1:69" ht="15.6">
      <c r="A2" s="182" t="s">
        <v>9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29"/>
    </row>
    <row r="3" spans="1:69" ht="15.6">
      <c r="A3" s="182" t="s">
        <v>10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81"/>
    </row>
    <row r="4" spans="1:69" ht="15.6">
      <c r="A4" s="183" t="s">
        <v>11</v>
      </c>
      <c r="B4" s="183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3"/>
      <c r="AP4" s="183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82"/>
    </row>
    <row r="5" spans="1:69" ht="15.6">
      <c r="A5" s="82"/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</row>
    <row r="6" spans="1:69" ht="17.399999999999999">
      <c r="A6" s="184" t="s">
        <v>43</v>
      </c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5" t="str">
        <f>Успеваемость!G7</f>
        <v>апрель</v>
      </c>
      <c r="AF6" s="185"/>
      <c r="AG6" s="185"/>
      <c r="AH6" s="185"/>
      <c r="AI6" s="34" t="str">
        <f>Успеваемость!I7</f>
        <v>2022-2023 УЧЕБНОГО ГОДА</v>
      </c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83"/>
    </row>
    <row r="7" spans="1:69" ht="24.9" customHeight="1">
      <c r="A7" s="77"/>
      <c r="B7" s="30"/>
      <c r="C7" s="31"/>
      <c r="D7" s="31"/>
      <c r="E7" s="31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</row>
    <row r="8" spans="1:69" ht="24.9" customHeight="1">
      <c r="A8" s="196" t="str">
        <f>Успеваемость!A9</f>
        <v>Группа ИСПк-104/107-52-00</v>
      </c>
      <c r="B8" s="196"/>
      <c r="C8" s="196"/>
      <c r="D8" s="196"/>
      <c r="E8" s="196"/>
      <c r="F8" s="196"/>
      <c r="G8" s="196"/>
      <c r="H8" s="77"/>
      <c r="I8" s="77"/>
      <c r="J8" s="77"/>
      <c r="K8" s="77"/>
      <c r="L8" s="77"/>
      <c r="M8" s="77"/>
      <c r="N8" s="77"/>
      <c r="O8" s="77"/>
      <c r="P8" s="77"/>
      <c r="Q8" s="77"/>
      <c r="R8" s="178" t="s">
        <v>32</v>
      </c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173"/>
      <c r="AW8" s="173"/>
      <c r="AX8" s="173"/>
      <c r="AY8" s="173"/>
      <c r="AZ8" s="173"/>
      <c r="BA8" s="173"/>
      <c r="BB8" s="173"/>
      <c r="BC8" s="173"/>
      <c r="BD8" s="173"/>
      <c r="BE8" s="173"/>
      <c r="BF8" s="173"/>
      <c r="BG8" s="173"/>
      <c r="BH8" s="192"/>
      <c r="BI8" s="192"/>
      <c r="BJ8" s="77"/>
    </row>
    <row r="9" spans="1:69" ht="24.9" customHeight="1">
      <c r="A9" s="77"/>
      <c r="B9" s="30"/>
      <c r="C9" s="32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178" t="s">
        <v>33</v>
      </c>
      <c r="S9" s="178"/>
      <c r="T9" s="178"/>
      <c r="U9" s="178"/>
      <c r="V9" s="178"/>
      <c r="W9" s="178"/>
      <c r="X9" s="178"/>
      <c r="Y9" s="178"/>
      <c r="Z9" s="178"/>
      <c r="AA9" s="178"/>
      <c r="AB9" s="178"/>
      <c r="AC9" s="178"/>
      <c r="AD9" s="178"/>
      <c r="AE9" s="178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</row>
    <row r="10" spans="1:69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</row>
    <row r="11" spans="1:69" ht="13.8" thickBot="1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</row>
    <row r="12" spans="1:69" ht="18.75" customHeight="1">
      <c r="A12" s="197" t="s">
        <v>3</v>
      </c>
      <c r="B12" s="199" t="s">
        <v>2</v>
      </c>
      <c r="C12" s="200"/>
      <c r="D12" s="200"/>
      <c r="E12" s="201"/>
      <c r="F12" s="205" t="s">
        <v>34</v>
      </c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  <c r="AD12" s="206"/>
      <c r="AE12" s="206"/>
      <c r="AF12" s="206"/>
      <c r="AG12" s="206"/>
      <c r="AH12" s="206"/>
      <c r="AI12" s="206"/>
      <c r="AJ12" s="206"/>
      <c r="AK12" s="206"/>
      <c r="AL12" s="206"/>
      <c r="AM12" s="206"/>
      <c r="AN12" s="206"/>
      <c r="AO12" s="206"/>
      <c r="AP12" s="206"/>
      <c r="AQ12" s="206"/>
      <c r="AR12" s="206"/>
      <c r="AS12" s="206"/>
      <c r="AT12" s="206"/>
      <c r="AU12" s="206"/>
      <c r="AV12" s="206"/>
      <c r="AW12" s="206"/>
      <c r="AX12" s="206"/>
      <c r="AY12" s="206"/>
      <c r="AZ12" s="206"/>
      <c r="BA12" s="206"/>
      <c r="BB12" s="206"/>
      <c r="BC12" s="206"/>
      <c r="BD12" s="206"/>
      <c r="BE12" s="207"/>
      <c r="BF12" s="186" t="s">
        <v>35</v>
      </c>
      <c r="BG12" s="208" t="s">
        <v>36</v>
      </c>
      <c r="BH12" s="209"/>
      <c r="BI12" s="193" t="s">
        <v>37</v>
      </c>
      <c r="BJ12" s="99"/>
      <c r="BK12" s="100"/>
      <c r="BL12" s="100"/>
      <c r="BM12" s="100"/>
      <c r="BN12" s="100"/>
      <c r="BO12" s="100"/>
      <c r="BP12" s="100"/>
      <c r="BQ12" s="100"/>
    </row>
    <row r="13" spans="1:69" ht="19.5" customHeight="1" thickBot="1">
      <c r="A13" s="198"/>
      <c r="B13" s="202"/>
      <c r="C13" s="203"/>
      <c r="D13" s="203"/>
      <c r="E13" s="204"/>
      <c r="F13" s="212">
        <v>1</v>
      </c>
      <c r="G13" s="180"/>
      <c r="H13" s="179">
        <v>3</v>
      </c>
      <c r="I13" s="180"/>
      <c r="J13" s="179">
        <v>4</v>
      </c>
      <c r="K13" s="180"/>
      <c r="L13" s="179">
        <v>5</v>
      </c>
      <c r="M13" s="180"/>
      <c r="N13" s="179">
        <v>6</v>
      </c>
      <c r="O13" s="180"/>
      <c r="P13" s="179">
        <v>7</v>
      </c>
      <c r="Q13" s="180"/>
      <c r="R13" s="179">
        <v>8</v>
      </c>
      <c r="S13" s="180"/>
      <c r="T13" s="179">
        <v>10</v>
      </c>
      <c r="U13" s="180"/>
      <c r="V13" s="179">
        <v>11</v>
      </c>
      <c r="W13" s="180"/>
      <c r="X13" s="179">
        <v>12</v>
      </c>
      <c r="Y13" s="180"/>
      <c r="Z13" s="179">
        <v>13</v>
      </c>
      <c r="AA13" s="180"/>
      <c r="AB13" s="179">
        <v>14</v>
      </c>
      <c r="AC13" s="180"/>
      <c r="AD13" s="179">
        <v>15</v>
      </c>
      <c r="AE13" s="180"/>
      <c r="AF13" s="179">
        <v>17</v>
      </c>
      <c r="AG13" s="180"/>
      <c r="AH13" s="179">
        <v>18</v>
      </c>
      <c r="AI13" s="180"/>
      <c r="AJ13" s="179">
        <v>19</v>
      </c>
      <c r="AK13" s="180"/>
      <c r="AL13" s="179">
        <v>20</v>
      </c>
      <c r="AM13" s="180"/>
      <c r="AN13" s="179">
        <v>21</v>
      </c>
      <c r="AO13" s="180"/>
      <c r="AP13" s="179">
        <v>22</v>
      </c>
      <c r="AQ13" s="180"/>
      <c r="AR13" s="179">
        <v>24</v>
      </c>
      <c r="AS13" s="180"/>
      <c r="AT13" s="179">
        <v>25</v>
      </c>
      <c r="AU13" s="180"/>
      <c r="AV13" s="179">
        <v>26</v>
      </c>
      <c r="AW13" s="180"/>
      <c r="AX13" s="189">
        <v>27</v>
      </c>
      <c r="AY13" s="190"/>
      <c r="AZ13" s="179">
        <v>28</v>
      </c>
      <c r="BA13" s="180"/>
      <c r="BB13" s="179">
        <v>29</v>
      </c>
      <c r="BC13" s="191"/>
      <c r="BD13" s="179"/>
      <c r="BE13" s="191"/>
      <c r="BF13" s="187"/>
      <c r="BG13" s="210"/>
      <c r="BH13" s="211"/>
      <c r="BI13" s="194"/>
      <c r="BJ13" s="99"/>
      <c r="BK13" s="100"/>
      <c r="BL13" s="100"/>
      <c r="BM13" s="100"/>
      <c r="BN13" s="100"/>
      <c r="BO13" s="100"/>
      <c r="BP13" s="100"/>
      <c r="BQ13" s="100"/>
    </row>
    <row r="14" spans="1:69" ht="36" customHeight="1" thickBot="1">
      <c r="A14" s="198"/>
      <c r="B14" s="202"/>
      <c r="C14" s="203"/>
      <c r="D14" s="203"/>
      <c r="E14" s="204"/>
      <c r="F14" s="65" t="s">
        <v>38</v>
      </c>
      <c r="G14" s="66" t="s">
        <v>39</v>
      </c>
      <c r="H14" s="66" t="s">
        <v>38</v>
      </c>
      <c r="I14" s="66" t="s">
        <v>39</v>
      </c>
      <c r="J14" s="66" t="s">
        <v>38</v>
      </c>
      <c r="K14" s="66" t="s">
        <v>39</v>
      </c>
      <c r="L14" s="66" t="s">
        <v>38</v>
      </c>
      <c r="M14" s="66" t="s">
        <v>39</v>
      </c>
      <c r="N14" s="66" t="s">
        <v>38</v>
      </c>
      <c r="O14" s="66" t="s">
        <v>39</v>
      </c>
      <c r="P14" s="66" t="s">
        <v>38</v>
      </c>
      <c r="Q14" s="66" t="s">
        <v>39</v>
      </c>
      <c r="R14" s="66" t="s">
        <v>38</v>
      </c>
      <c r="S14" s="66" t="s">
        <v>39</v>
      </c>
      <c r="T14" s="66" t="s">
        <v>38</v>
      </c>
      <c r="U14" s="66" t="s">
        <v>39</v>
      </c>
      <c r="V14" s="66" t="s">
        <v>38</v>
      </c>
      <c r="W14" s="66" t="s">
        <v>39</v>
      </c>
      <c r="X14" s="66" t="s">
        <v>38</v>
      </c>
      <c r="Y14" s="66" t="s">
        <v>39</v>
      </c>
      <c r="Z14" s="66" t="s">
        <v>38</v>
      </c>
      <c r="AA14" s="66" t="s">
        <v>39</v>
      </c>
      <c r="AB14" s="66" t="s">
        <v>38</v>
      </c>
      <c r="AC14" s="66" t="s">
        <v>39</v>
      </c>
      <c r="AD14" s="66" t="s">
        <v>38</v>
      </c>
      <c r="AE14" s="66" t="s">
        <v>39</v>
      </c>
      <c r="AF14" s="66" t="s">
        <v>38</v>
      </c>
      <c r="AG14" s="66" t="s">
        <v>39</v>
      </c>
      <c r="AH14" s="66" t="s">
        <v>38</v>
      </c>
      <c r="AI14" s="66" t="s">
        <v>39</v>
      </c>
      <c r="AJ14" s="66" t="s">
        <v>38</v>
      </c>
      <c r="AK14" s="66" t="s">
        <v>39</v>
      </c>
      <c r="AL14" s="66" t="s">
        <v>38</v>
      </c>
      <c r="AM14" s="66" t="s">
        <v>39</v>
      </c>
      <c r="AN14" s="66" t="s">
        <v>38</v>
      </c>
      <c r="AO14" s="66" t="s">
        <v>39</v>
      </c>
      <c r="AP14" s="66" t="s">
        <v>38</v>
      </c>
      <c r="AQ14" s="66" t="s">
        <v>39</v>
      </c>
      <c r="AR14" s="66" t="s">
        <v>38</v>
      </c>
      <c r="AS14" s="66" t="s">
        <v>39</v>
      </c>
      <c r="AT14" s="66" t="s">
        <v>38</v>
      </c>
      <c r="AU14" s="66" t="s">
        <v>39</v>
      </c>
      <c r="AV14" s="66" t="s">
        <v>38</v>
      </c>
      <c r="AW14" s="67" t="s">
        <v>39</v>
      </c>
      <c r="AX14" s="67" t="s">
        <v>38</v>
      </c>
      <c r="AY14" s="67" t="s">
        <v>39</v>
      </c>
      <c r="AZ14" s="67" t="s">
        <v>38</v>
      </c>
      <c r="BA14" s="67" t="s">
        <v>39</v>
      </c>
      <c r="BB14" s="67" t="s">
        <v>38</v>
      </c>
      <c r="BC14" s="67" t="s">
        <v>39</v>
      </c>
      <c r="BD14" s="66" t="s">
        <v>38</v>
      </c>
      <c r="BE14" s="68" t="s">
        <v>39</v>
      </c>
      <c r="BF14" s="188"/>
      <c r="BG14" s="75" t="s">
        <v>38</v>
      </c>
      <c r="BH14" s="76" t="s">
        <v>39</v>
      </c>
      <c r="BI14" s="195"/>
      <c r="BJ14" s="101"/>
      <c r="BK14" s="100"/>
      <c r="BL14" s="100"/>
      <c r="BM14" s="100"/>
      <c r="BN14" s="100"/>
      <c r="BO14" s="100"/>
      <c r="BP14" s="100"/>
      <c r="BQ14" s="100"/>
    </row>
    <row r="15" spans="1:69" ht="20.100000000000001" customHeight="1" thickBot="1">
      <c r="A15" s="102">
        <f>Успеваемость!A12</f>
        <v>1</v>
      </c>
      <c r="B15" s="166" t="str">
        <f>IF(ISBLANK(Успеваемость!B12), "", Успеваемость!B12)</f>
        <v>Алембаев Артём Сергеевич</v>
      </c>
      <c r="C15" s="167"/>
      <c r="D15" s="167"/>
      <c r="E15" s="168"/>
      <c r="F15" s="63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60"/>
      <c r="BF15" s="62">
        <f t="shared" ref="BF15" si="0">IF(B15="", "", SUM(F15:BE15))</f>
        <v>0</v>
      </c>
      <c r="BG15" s="39">
        <f>IF(B15="", "", SUMIF($F$14:$BE$14,"Б",F15:BE15))</f>
        <v>0</v>
      </c>
      <c r="BH15" s="40">
        <f t="shared" ref="BH15" si="1">IF(B15="", "", SUMIF($F$14:$BE$14,"У",F15:BE15))</f>
        <v>0</v>
      </c>
      <c r="BI15" s="41"/>
      <c r="BJ15" s="101"/>
      <c r="BK15" s="100"/>
      <c r="BL15" s="100"/>
      <c r="BM15" s="100"/>
      <c r="BN15" s="100"/>
      <c r="BO15" s="100"/>
      <c r="BP15" s="100"/>
      <c r="BQ15" s="100"/>
    </row>
    <row r="16" spans="1:69" ht="20.100000000000001" customHeight="1" thickBot="1">
      <c r="A16" s="103">
        <f>Успеваемость!A13</f>
        <v>2</v>
      </c>
      <c r="B16" s="166" t="str">
        <f>IF(ISBLANK(Успеваемость!B13), "", Успеваемость!B13)</f>
        <v>Алиев Тимур Русланович</v>
      </c>
      <c r="C16" s="167"/>
      <c r="D16" s="167"/>
      <c r="E16" s="168"/>
      <c r="F16" s="71"/>
      <c r="G16" s="72"/>
      <c r="H16" s="72"/>
      <c r="I16" s="72"/>
      <c r="J16" s="72"/>
      <c r="K16" s="72"/>
      <c r="L16" s="72"/>
      <c r="M16" s="72"/>
      <c r="N16" s="72"/>
      <c r="O16" s="72">
        <v>2</v>
      </c>
      <c r="P16" s="72"/>
      <c r="Q16" s="72"/>
      <c r="R16" s="72"/>
      <c r="S16" s="72"/>
      <c r="T16" s="72"/>
      <c r="U16" s="72"/>
      <c r="V16" s="72"/>
      <c r="W16" s="72"/>
      <c r="X16" s="72"/>
      <c r="Y16" s="72">
        <v>8</v>
      </c>
      <c r="Z16" s="72"/>
      <c r="AA16" s="72">
        <v>8</v>
      </c>
      <c r="AB16" s="72"/>
      <c r="AC16" s="72">
        <v>8</v>
      </c>
      <c r="AD16" s="72"/>
      <c r="AE16" s="72"/>
      <c r="AF16" s="72"/>
      <c r="AG16" s="72">
        <v>6</v>
      </c>
      <c r="AH16" s="72"/>
      <c r="AI16" s="72"/>
      <c r="AJ16" s="72"/>
      <c r="AK16" s="72"/>
      <c r="AL16" s="72"/>
      <c r="AM16" s="72"/>
      <c r="AN16" s="72"/>
      <c r="AO16" s="72">
        <v>6</v>
      </c>
      <c r="AP16" s="72"/>
      <c r="AQ16" s="72"/>
      <c r="AR16" s="72"/>
      <c r="AS16" s="72"/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2"/>
      <c r="BE16" s="73"/>
      <c r="BF16" s="62">
        <f t="shared" ref="BF16:BF41" si="2">IF(B16="", "", SUM(F16:BE16))</f>
        <v>38</v>
      </c>
      <c r="BG16" s="39">
        <f t="shared" ref="BG16:BG41" si="3">IF(B16="", "", SUMIF($F$14:$BE$14,"Б",F16:BE16))</f>
        <v>0</v>
      </c>
      <c r="BH16" s="40">
        <f t="shared" ref="BH16:BH41" si="4">IF(B16="", "", SUMIF($F$14:$BE$14,"У",F16:BE16))</f>
        <v>38</v>
      </c>
      <c r="BI16" s="74"/>
      <c r="BJ16" s="101"/>
      <c r="BK16" s="100"/>
      <c r="BL16" s="100"/>
      <c r="BM16" s="100"/>
      <c r="BN16" s="100"/>
      <c r="BO16" s="100"/>
      <c r="BP16" s="100"/>
      <c r="BQ16" s="100"/>
    </row>
    <row r="17" spans="1:69" ht="20.100000000000001" customHeight="1" thickBot="1">
      <c r="A17" s="103">
        <f>Успеваемость!A14</f>
        <v>3</v>
      </c>
      <c r="B17" s="166" t="str">
        <f>IF(ISBLANK(Успеваемость!B14), "", Успеваемость!B14)</f>
        <v>Бессонова Анастасия Александровна</v>
      </c>
      <c r="C17" s="167"/>
      <c r="D17" s="167"/>
      <c r="E17" s="168"/>
      <c r="F17" s="71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>
        <v>4</v>
      </c>
      <c r="AD17" s="72"/>
      <c r="AE17" s="72">
        <v>4</v>
      </c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3"/>
      <c r="BF17" s="62">
        <f t="shared" si="2"/>
        <v>8</v>
      </c>
      <c r="BG17" s="39">
        <f t="shared" si="3"/>
        <v>0</v>
      </c>
      <c r="BH17" s="40">
        <f t="shared" si="4"/>
        <v>8</v>
      </c>
      <c r="BI17" s="74"/>
      <c r="BJ17" s="101"/>
      <c r="BK17" s="100"/>
      <c r="BL17" s="100"/>
      <c r="BM17" s="100"/>
      <c r="BN17" s="100"/>
      <c r="BO17" s="100"/>
      <c r="BP17" s="100"/>
      <c r="BQ17" s="100"/>
    </row>
    <row r="18" spans="1:69" ht="20.100000000000001" customHeight="1" thickBot="1">
      <c r="A18" s="103">
        <f>Успеваемость!A15</f>
        <v>4</v>
      </c>
      <c r="B18" s="166" t="str">
        <f>IF(ISBLANK(Успеваемость!B15), "", Успеваемость!B15)</f>
        <v>Бузмакова Анастасия Романовна</v>
      </c>
      <c r="C18" s="167"/>
      <c r="D18" s="167"/>
      <c r="E18" s="168"/>
      <c r="F18" s="64"/>
      <c r="G18" s="53"/>
      <c r="H18" s="53"/>
      <c r="I18" s="53"/>
      <c r="J18" s="53"/>
      <c r="K18" s="53">
        <v>8</v>
      </c>
      <c r="L18" s="53"/>
      <c r="M18" s="53">
        <v>4</v>
      </c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>
        <v>6</v>
      </c>
      <c r="AH18" s="53"/>
      <c r="AI18" s="53">
        <v>8</v>
      </c>
      <c r="AJ18" s="53"/>
      <c r="AK18" s="53"/>
      <c r="AL18" s="53"/>
      <c r="AM18" s="53"/>
      <c r="AN18" s="53"/>
      <c r="AO18" s="53"/>
      <c r="AP18" s="53"/>
      <c r="AQ18" s="53"/>
      <c r="AR18" s="53"/>
      <c r="AS18" s="53">
        <v>8</v>
      </c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61"/>
      <c r="BF18" s="62">
        <f t="shared" si="2"/>
        <v>34</v>
      </c>
      <c r="BG18" s="39">
        <f t="shared" si="3"/>
        <v>0</v>
      </c>
      <c r="BH18" s="40">
        <f t="shared" si="4"/>
        <v>34</v>
      </c>
      <c r="BI18" s="42"/>
      <c r="BJ18" s="101"/>
      <c r="BK18" s="100"/>
      <c r="BL18" s="100"/>
      <c r="BM18" s="100"/>
      <c r="BN18" s="100"/>
      <c r="BO18" s="100"/>
      <c r="BP18" s="100"/>
      <c r="BQ18" s="100"/>
    </row>
    <row r="19" spans="1:69" ht="20.100000000000001" customHeight="1" thickBot="1">
      <c r="A19" s="103">
        <f>Успеваемость!A16</f>
        <v>5</v>
      </c>
      <c r="B19" s="166" t="str">
        <f>IF(ISBLANK(Успеваемость!B16), "", Успеваемость!B16)</f>
        <v>Вейс Роман Михайлович</v>
      </c>
      <c r="C19" s="167"/>
      <c r="D19" s="167"/>
      <c r="E19" s="168"/>
      <c r="F19" s="64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61"/>
      <c r="BF19" s="62">
        <f t="shared" si="2"/>
        <v>0</v>
      </c>
      <c r="BG19" s="39">
        <f t="shared" si="3"/>
        <v>0</v>
      </c>
      <c r="BH19" s="40">
        <f t="shared" si="4"/>
        <v>0</v>
      </c>
      <c r="BI19" s="42"/>
      <c r="BJ19" s="101"/>
      <c r="BK19" s="100"/>
      <c r="BL19" s="100"/>
      <c r="BM19" s="100"/>
      <c r="BN19" s="100"/>
      <c r="BO19" s="100"/>
      <c r="BP19" s="100"/>
      <c r="BQ19" s="100"/>
    </row>
    <row r="20" spans="1:69" ht="20.100000000000001" customHeight="1" thickBot="1">
      <c r="A20" s="103">
        <f>Успеваемость!A17</f>
        <v>6</v>
      </c>
      <c r="B20" s="166" t="str">
        <f>IF(ISBLANK(Успеваемость!B17), "", Успеваемость!B17)</f>
        <v>Зотова Анастасия Викторовна</v>
      </c>
      <c r="C20" s="167"/>
      <c r="D20" s="167"/>
      <c r="E20" s="168"/>
      <c r="F20" s="64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>
        <v>6</v>
      </c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>
        <v>2</v>
      </c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>
        <v>2</v>
      </c>
      <c r="BB20" s="53"/>
      <c r="BC20" s="53"/>
      <c r="BD20" s="53"/>
      <c r="BE20" s="61"/>
      <c r="BF20" s="62">
        <f t="shared" si="2"/>
        <v>10</v>
      </c>
      <c r="BG20" s="39">
        <f t="shared" si="3"/>
        <v>0</v>
      </c>
      <c r="BH20" s="40">
        <f t="shared" si="4"/>
        <v>10</v>
      </c>
      <c r="BI20" s="42"/>
      <c r="BJ20" s="101"/>
      <c r="BK20" s="100"/>
      <c r="BL20" s="100"/>
      <c r="BM20" s="100"/>
      <c r="BN20" s="100"/>
      <c r="BO20" s="100"/>
      <c r="BP20" s="100"/>
      <c r="BQ20" s="100"/>
    </row>
    <row r="21" spans="1:69" ht="20.100000000000001" customHeight="1" thickBot="1">
      <c r="A21" s="103">
        <f>Успеваемость!A18</f>
        <v>7</v>
      </c>
      <c r="B21" s="166" t="str">
        <f>IF(ISBLANK(Успеваемость!B18), "", Успеваемость!B18)</f>
        <v>Зырянов Константин Сергеевич</v>
      </c>
      <c r="C21" s="167"/>
      <c r="D21" s="167"/>
      <c r="E21" s="168"/>
      <c r="F21" s="64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>
        <v>2</v>
      </c>
      <c r="AV21" s="53"/>
      <c r="AW21" s="53"/>
      <c r="AX21" s="53"/>
      <c r="AY21" s="53"/>
      <c r="AZ21" s="53"/>
      <c r="BA21" s="53"/>
      <c r="BB21" s="53"/>
      <c r="BC21" s="53"/>
      <c r="BD21" s="53"/>
      <c r="BE21" s="61"/>
      <c r="BF21" s="62">
        <f t="shared" si="2"/>
        <v>2</v>
      </c>
      <c r="BG21" s="39">
        <f t="shared" si="3"/>
        <v>0</v>
      </c>
      <c r="BH21" s="40">
        <f t="shared" si="4"/>
        <v>2</v>
      </c>
      <c r="BI21" s="42"/>
      <c r="BJ21" s="101"/>
      <c r="BK21" s="100"/>
      <c r="BL21" s="100"/>
      <c r="BM21" s="100"/>
      <c r="BN21" s="100"/>
      <c r="BO21" s="100"/>
      <c r="BP21" s="100"/>
      <c r="BQ21" s="100"/>
    </row>
    <row r="22" spans="1:69" ht="20.100000000000001" customHeight="1" thickBot="1">
      <c r="A22" s="103">
        <f>Успеваемость!A19</f>
        <v>8</v>
      </c>
      <c r="B22" s="166" t="str">
        <f>IF(ISBLANK(Успеваемость!B19), "", Успеваемость!B19)</f>
        <v>Исупов Максим Олегович</v>
      </c>
      <c r="C22" s="167"/>
      <c r="D22" s="167"/>
      <c r="E22" s="168"/>
      <c r="F22" s="64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61"/>
      <c r="BF22" s="62">
        <f t="shared" si="2"/>
        <v>0</v>
      </c>
      <c r="BG22" s="39">
        <f t="shared" si="3"/>
        <v>0</v>
      </c>
      <c r="BH22" s="40">
        <f t="shared" si="4"/>
        <v>0</v>
      </c>
      <c r="BI22" s="42"/>
      <c r="BJ22" s="101"/>
      <c r="BK22" s="100"/>
      <c r="BL22" s="100"/>
      <c r="BM22" s="100"/>
      <c r="BN22" s="100"/>
      <c r="BO22" s="100"/>
      <c r="BP22" s="100"/>
      <c r="BQ22" s="100"/>
    </row>
    <row r="23" spans="1:69" ht="20.100000000000001" customHeight="1" thickBot="1">
      <c r="A23" s="103">
        <f>Успеваемость!A20</f>
        <v>9</v>
      </c>
      <c r="B23" s="166" t="str">
        <f>IF(ISBLANK(Успеваемость!B20), "", Успеваемость!B20)</f>
        <v>Колобов Александр Алексеевич</v>
      </c>
      <c r="C23" s="167"/>
      <c r="D23" s="167"/>
      <c r="E23" s="168"/>
      <c r="F23" s="64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61"/>
      <c r="BF23" s="62">
        <f t="shared" si="2"/>
        <v>0</v>
      </c>
      <c r="BG23" s="39">
        <f t="shared" si="3"/>
        <v>0</v>
      </c>
      <c r="BH23" s="40">
        <f t="shared" si="4"/>
        <v>0</v>
      </c>
      <c r="BI23" s="42"/>
      <c r="BJ23" s="101"/>
      <c r="BK23" s="100"/>
      <c r="BL23" s="100"/>
      <c r="BM23" s="100"/>
      <c r="BN23" s="100"/>
      <c r="BO23" s="100"/>
      <c r="BP23" s="100"/>
      <c r="BQ23" s="100"/>
    </row>
    <row r="24" spans="1:69" ht="20.100000000000001" customHeight="1" thickBot="1">
      <c r="A24" s="103">
        <f>Успеваемость!A21</f>
        <v>10</v>
      </c>
      <c r="B24" s="166" t="str">
        <f>IF(ISBLANK(Успеваемость!B21), "", Успеваемость!B21)</f>
        <v>Кононов Степан Андреевич</v>
      </c>
      <c r="C24" s="167"/>
      <c r="D24" s="167"/>
      <c r="E24" s="168"/>
      <c r="F24" s="64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>
        <v>4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61"/>
      <c r="BF24" s="62">
        <f t="shared" si="2"/>
        <v>4</v>
      </c>
      <c r="BG24" s="39">
        <f t="shared" si="3"/>
        <v>0</v>
      </c>
      <c r="BH24" s="40">
        <f t="shared" si="4"/>
        <v>4</v>
      </c>
      <c r="BI24" s="42"/>
      <c r="BJ24" s="101"/>
      <c r="BK24" s="100"/>
      <c r="BL24" s="100"/>
      <c r="BM24" s="100"/>
      <c r="BN24" s="100"/>
      <c r="BO24" s="100"/>
      <c r="BP24" s="100"/>
      <c r="BQ24" s="100"/>
    </row>
    <row r="25" spans="1:69" ht="20.100000000000001" customHeight="1" thickBot="1">
      <c r="A25" s="103">
        <f>Успеваемость!A22</f>
        <v>11</v>
      </c>
      <c r="B25" s="166" t="str">
        <f>IF(ISBLANK(Успеваемость!B22), "", Успеваемость!B22)</f>
        <v>Корзунин Евгений Сергеевич</v>
      </c>
      <c r="C25" s="167"/>
      <c r="D25" s="167"/>
      <c r="E25" s="168"/>
      <c r="F25" s="64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61"/>
      <c r="BF25" s="62">
        <f t="shared" si="2"/>
        <v>0</v>
      </c>
      <c r="BG25" s="39">
        <f t="shared" si="3"/>
        <v>0</v>
      </c>
      <c r="BH25" s="40">
        <f t="shared" si="4"/>
        <v>0</v>
      </c>
      <c r="BI25" s="42"/>
      <c r="BJ25" s="101"/>
      <c r="BK25" s="100"/>
      <c r="BL25" s="100"/>
      <c r="BM25" s="100"/>
      <c r="BN25" s="100"/>
      <c r="BO25" s="100"/>
      <c r="BP25" s="100"/>
      <c r="BQ25" s="100"/>
    </row>
    <row r="26" spans="1:69" ht="20.100000000000001" customHeight="1" thickBot="1">
      <c r="A26" s="103">
        <f>Успеваемость!A23</f>
        <v>12</v>
      </c>
      <c r="B26" s="166" t="str">
        <f>IF(ISBLANK(Успеваемость!B23), "", Успеваемость!B23)</f>
        <v>Кривошеин Дмитрий Васильевич</v>
      </c>
      <c r="C26" s="167"/>
      <c r="D26" s="167"/>
      <c r="E26" s="168"/>
      <c r="F26" s="64"/>
      <c r="G26" s="53"/>
      <c r="H26" s="53"/>
      <c r="I26" s="53"/>
      <c r="J26" s="53">
        <v>4</v>
      </c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61"/>
      <c r="BF26" s="62">
        <f t="shared" si="2"/>
        <v>4</v>
      </c>
      <c r="BG26" s="39">
        <f t="shared" si="3"/>
        <v>4</v>
      </c>
      <c r="BH26" s="40">
        <f t="shared" si="4"/>
        <v>0</v>
      </c>
      <c r="BI26" s="42"/>
      <c r="BJ26" s="101"/>
      <c r="BK26" s="100"/>
      <c r="BL26" s="100"/>
      <c r="BM26" s="100"/>
      <c r="BN26" s="100"/>
      <c r="BO26" s="100"/>
      <c r="BP26" s="100"/>
      <c r="BQ26" s="100"/>
    </row>
    <row r="27" spans="1:69" ht="20.100000000000001" customHeight="1" thickBot="1">
      <c r="A27" s="103">
        <f>Успеваемость!A24</f>
        <v>13</v>
      </c>
      <c r="B27" s="166" t="str">
        <f>IF(ISBLANK(Успеваемость!B24), "", Успеваемость!B24)</f>
        <v>Куковеров Никита Анатольевич</v>
      </c>
      <c r="C27" s="167"/>
      <c r="D27" s="167"/>
      <c r="E27" s="168"/>
      <c r="F27" s="64">
        <v>4</v>
      </c>
      <c r="G27" s="53"/>
      <c r="H27" s="53"/>
      <c r="I27" s="53"/>
      <c r="J27" s="53"/>
      <c r="K27" s="53"/>
      <c r="L27" s="53"/>
      <c r="M27" s="53"/>
      <c r="N27" s="53"/>
      <c r="O27" s="53"/>
      <c r="P27" s="53">
        <v>2</v>
      </c>
      <c r="Q27" s="53"/>
      <c r="R27" s="53"/>
      <c r="S27" s="53"/>
      <c r="T27" s="53"/>
      <c r="U27" s="53"/>
      <c r="V27" s="53"/>
      <c r="W27" s="53"/>
      <c r="X27" s="53"/>
      <c r="Y27" s="53"/>
      <c r="Z27" s="53">
        <v>2</v>
      </c>
      <c r="AA27" s="53"/>
      <c r="AB27" s="53">
        <v>2</v>
      </c>
      <c r="AC27" s="53"/>
      <c r="AD27" s="53">
        <v>2</v>
      </c>
      <c r="AE27" s="53"/>
      <c r="AF27" s="53"/>
      <c r="AG27" s="53"/>
      <c r="AH27" s="53"/>
      <c r="AI27" s="53"/>
      <c r="AJ27" s="53">
        <v>2</v>
      </c>
      <c r="AK27" s="53"/>
      <c r="AL27" s="53"/>
      <c r="AM27" s="53"/>
      <c r="AN27" s="53">
        <v>2</v>
      </c>
      <c r="AO27" s="53"/>
      <c r="AP27" s="53">
        <v>4</v>
      </c>
      <c r="AQ27" s="53"/>
      <c r="AR27" s="53">
        <v>4</v>
      </c>
      <c r="AS27" s="53"/>
      <c r="AT27" s="53">
        <v>2</v>
      </c>
      <c r="AU27" s="53"/>
      <c r="AV27" s="53">
        <v>2</v>
      </c>
      <c r="AW27" s="53"/>
      <c r="AX27" s="53">
        <v>2</v>
      </c>
      <c r="AY27" s="53"/>
      <c r="AZ27" s="53">
        <v>2</v>
      </c>
      <c r="BA27" s="53"/>
      <c r="BB27" s="53">
        <v>4</v>
      </c>
      <c r="BC27" s="53"/>
      <c r="BD27" s="53"/>
      <c r="BE27" s="61"/>
      <c r="BF27" s="62">
        <f t="shared" si="2"/>
        <v>36</v>
      </c>
      <c r="BG27" s="39">
        <f t="shared" si="3"/>
        <v>36</v>
      </c>
      <c r="BH27" s="40">
        <f t="shared" si="4"/>
        <v>0</v>
      </c>
      <c r="BI27" s="42"/>
      <c r="BJ27" s="101"/>
      <c r="BK27" s="100"/>
      <c r="BL27" s="100"/>
      <c r="BM27" s="100"/>
      <c r="BN27" s="100"/>
      <c r="BO27" s="100"/>
      <c r="BP27" s="100"/>
      <c r="BQ27" s="100"/>
    </row>
    <row r="28" spans="1:69" ht="20.100000000000001" customHeight="1" thickBot="1">
      <c r="A28" s="103">
        <f>Успеваемость!A25</f>
        <v>14</v>
      </c>
      <c r="B28" s="166" t="str">
        <f>IF(ISBLANK(Успеваемость!B25), "", Успеваемость!B25)</f>
        <v>Лаптев Дмитрий Андреевич</v>
      </c>
      <c r="C28" s="167"/>
      <c r="D28" s="167"/>
      <c r="E28" s="168"/>
      <c r="F28" s="64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61"/>
      <c r="BF28" s="62">
        <f t="shared" si="2"/>
        <v>0</v>
      </c>
      <c r="BG28" s="39">
        <f t="shared" si="3"/>
        <v>0</v>
      </c>
      <c r="BH28" s="40">
        <f t="shared" si="4"/>
        <v>0</v>
      </c>
      <c r="BI28" s="42"/>
      <c r="BJ28" s="101"/>
      <c r="BK28" s="100"/>
      <c r="BL28" s="100"/>
      <c r="BM28" s="100"/>
      <c r="BN28" s="100"/>
      <c r="BO28" s="100"/>
      <c r="BP28" s="100"/>
      <c r="BQ28" s="100"/>
    </row>
    <row r="29" spans="1:69" ht="20.100000000000001" customHeight="1" thickBot="1">
      <c r="A29" s="103">
        <f>Успеваемость!A26</f>
        <v>15</v>
      </c>
      <c r="B29" s="166" t="str">
        <f>IF(ISBLANK(Успеваемость!B26), "", Успеваемость!B26)</f>
        <v>Никулин Арсений Игоревич</v>
      </c>
      <c r="C29" s="167"/>
      <c r="D29" s="167"/>
      <c r="E29" s="168"/>
      <c r="F29" s="71"/>
      <c r="G29" s="72">
        <v>4</v>
      </c>
      <c r="H29" s="72"/>
      <c r="I29" s="72">
        <v>8</v>
      </c>
      <c r="J29" s="72"/>
      <c r="K29" s="72">
        <v>8</v>
      </c>
      <c r="L29" s="72"/>
      <c r="M29" s="72">
        <v>4</v>
      </c>
      <c r="N29" s="72"/>
      <c r="O29" s="72">
        <v>8</v>
      </c>
      <c r="P29" s="72"/>
      <c r="Q29" s="72">
        <v>6</v>
      </c>
      <c r="R29" s="72"/>
      <c r="S29" s="72"/>
      <c r="T29" s="72"/>
      <c r="U29" s="72"/>
      <c r="V29" s="72"/>
      <c r="W29" s="72"/>
      <c r="X29" s="72"/>
      <c r="Y29" s="72"/>
      <c r="Z29" s="72"/>
      <c r="AA29" s="72">
        <v>4</v>
      </c>
      <c r="AB29" s="72"/>
      <c r="AC29" s="72"/>
      <c r="AD29" s="72"/>
      <c r="AE29" s="72">
        <v>4</v>
      </c>
      <c r="AF29" s="72"/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>
        <v>6</v>
      </c>
      <c r="AR29" s="72"/>
      <c r="AS29" s="72"/>
      <c r="AT29" s="72"/>
      <c r="AU29" s="72"/>
      <c r="AV29" s="72"/>
      <c r="AW29" s="72"/>
      <c r="AX29" s="72"/>
      <c r="AY29" s="72"/>
      <c r="AZ29" s="72"/>
      <c r="BA29" s="72"/>
      <c r="BB29" s="72"/>
      <c r="BC29" s="72"/>
      <c r="BD29" s="72"/>
      <c r="BE29" s="73"/>
      <c r="BF29" s="62">
        <f t="shared" si="2"/>
        <v>52</v>
      </c>
      <c r="BG29" s="39">
        <f t="shared" si="3"/>
        <v>0</v>
      </c>
      <c r="BH29" s="40">
        <f t="shared" si="4"/>
        <v>52</v>
      </c>
      <c r="BI29" s="42"/>
      <c r="BJ29" s="101"/>
      <c r="BK29" s="100"/>
      <c r="BL29" s="100"/>
      <c r="BM29" s="100"/>
      <c r="BN29" s="100"/>
      <c r="BO29" s="100"/>
      <c r="BP29" s="100"/>
      <c r="BQ29" s="100"/>
    </row>
    <row r="30" spans="1:69" ht="20.100000000000001" customHeight="1" thickBot="1">
      <c r="A30" s="103">
        <f>Успеваемость!A27</f>
        <v>16</v>
      </c>
      <c r="B30" s="166" t="str">
        <f>IF(ISBLANK(Успеваемость!B27), "", Успеваемость!B27)</f>
        <v>Огородников Никита Михайлович</v>
      </c>
      <c r="C30" s="167"/>
      <c r="D30" s="167"/>
      <c r="E30" s="168"/>
      <c r="F30" s="71"/>
      <c r="G30" s="72">
        <v>4</v>
      </c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53">
        <v>2</v>
      </c>
      <c r="AA30" s="72"/>
      <c r="AB30" s="72">
        <v>2</v>
      </c>
      <c r="AC30" s="72"/>
      <c r="AD30" s="72">
        <v>2</v>
      </c>
      <c r="AE30" s="72"/>
      <c r="AF30" s="72"/>
      <c r="AG30" s="72"/>
      <c r="AH30" s="72"/>
      <c r="AI30" s="72"/>
      <c r="AJ30" s="72"/>
      <c r="AK30" s="72"/>
      <c r="AL30" s="72"/>
      <c r="AM30" s="72"/>
      <c r="AN30" s="72"/>
      <c r="AO30" s="72"/>
      <c r="AP30" s="72">
        <v>2</v>
      </c>
      <c r="AQ30" s="72"/>
      <c r="AR30" s="72">
        <v>2</v>
      </c>
      <c r="AS30" s="72"/>
      <c r="AT30" s="72">
        <v>4</v>
      </c>
      <c r="AU30" s="72"/>
      <c r="AV30" s="72"/>
      <c r="AW30" s="72"/>
      <c r="AX30" s="72">
        <v>2</v>
      </c>
      <c r="AY30" s="72"/>
      <c r="AZ30" s="72">
        <v>2</v>
      </c>
      <c r="BA30" s="72"/>
      <c r="BB30" s="72">
        <v>2</v>
      </c>
      <c r="BC30" s="72"/>
      <c r="BD30" s="72"/>
      <c r="BE30" s="73"/>
      <c r="BF30" s="62">
        <f t="shared" si="2"/>
        <v>24</v>
      </c>
      <c r="BG30" s="39">
        <f t="shared" si="3"/>
        <v>20</v>
      </c>
      <c r="BH30" s="40">
        <f t="shared" si="4"/>
        <v>4</v>
      </c>
      <c r="BI30" s="42"/>
      <c r="BJ30" s="101"/>
      <c r="BK30" s="100"/>
      <c r="BL30" s="100"/>
      <c r="BM30" s="100"/>
      <c r="BN30" s="100"/>
      <c r="BO30" s="100"/>
      <c r="BP30" s="100"/>
      <c r="BQ30" s="100"/>
    </row>
    <row r="31" spans="1:69" ht="20.100000000000001" customHeight="1" thickBot="1">
      <c r="A31" s="103">
        <f>Успеваемость!A28</f>
        <v>17</v>
      </c>
      <c r="B31" s="166" t="str">
        <f>IF(ISBLANK(Успеваемость!B28), "", Успеваемость!B28)</f>
        <v>Панкратов Никита Владимирович</v>
      </c>
      <c r="C31" s="167"/>
      <c r="D31" s="167"/>
      <c r="E31" s="168"/>
      <c r="F31" s="71"/>
      <c r="G31" s="72"/>
      <c r="H31" s="72"/>
      <c r="I31" s="72"/>
      <c r="J31" s="72"/>
      <c r="K31" s="72">
        <v>8</v>
      </c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>
        <v>8</v>
      </c>
      <c r="X31" s="72"/>
      <c r="Y31" s="72">
        <v>8</v>
      </c>
      <c r="Z31" s="53"/>
      <c r="AA31" s="72">
        <v>8</v>
      </c>
      <c r="AB31" s="72"/>
      <c r="AC31" s="72">
        <v>6</v>
      </c>
      <c r="AD31" s="72"/>
      <c r="AE31" s="72">
        <v>4</v>
      </c>
      <c r="AF31" s="72"/>
      <c r="AG31" s="72">
        <v>6</v>
      </c>
      <c r="AH31" s="72"/>
      <c r="AI31" s="72">
        <v>8</v>
      </c>
      <c r="AJ31" s="72"/>
      <c r="AK31" s="72">
        <v>4</v>
      </c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2"/>
      <c r="AW31" s="72"/>
      <c r="AX31" s="72"/>
      <c r="AY31" s="72"/>
      <c r="AZ31" s="72">
        <v>4</v>
      </c>
      <c r="BA31" s="72"/>
      <c r="BB31" s="72"/>
      <c r="BC31" s="72">
        <v>4</v>
      </c>
      <c r="BD31" s="72"/>
      <c r="BE31" s="73"/>
      <c r="BF31" s="62">
        <f t="shared" si="2"/>
        <v>68</v>
      </c>
      <c r="BG31" s="39">
        <f t="shared" si="3"/>
        <v>4</v>
      </c>
      <c r="BH31" s="40">
        <f t="shared" si="4"/>
        <v>64</v>
      </c>
      <c r="BI31" s="42"/>
      <c r="BJ31" s="101"/>
      <c r="BK31" s="100"/>
      <c r="BL31" s="100"/>
      <c r="BM31" s="100"/>
      <c r="BN31" s="100"/>
      <c r="BO31" s="100"/>
      <c r="BP31" s="100"/>
      <c r="BQ31" s="100"/>
    </row>
    <row r="32" spans="1:69" ht="20.100000000000001" customHeight="1" thickBot="1">
      <c r="A32" s="103">
        <f>Успеваемость!A29</f>
        <v>18</v>
      </c>
      <c r="B32" s="166" t="str">
        <f>IF(ISBLANK(Успеваемость!B29), "", Успеваемость!B29)</f>
        <v>Прыщенко Арсений Алексеевич</v>
      </c>
      <c r="C32" s="167"/>
      <c r="D32" s="167"/>
      <c r="E32" s="168"/>
      <c r="F32" s="64">
        <v>4</v>
      </c>
      <c r="G32" s="53"/>
      <c r="H32" s="53">
        <v>6</v>
      </c>
      <c r="I32" s="53">
        <v>2</v>
      </c>
      <c r="J32" s="53"/>
      <c r="K32" s="53"/>
      <c r="L32" s="53"/>
      <c r="M32" s="53"/>
      <c r="N32" s="53">
        <v>2</v>
      </c>
      <c r="O32" s="53"/>
      <c r="P32" s="53"/>
      <c r="Q32" s="53">
        <v>8</v>
      </c>
      <c r="R32" s="53"/>
      <c r="S32" s="53"/>
      <c r="T32" s="53"/>
      <c r="U32" s="53"/>
      <c r="V32" s="53"/>
      <c r="W32" s="53"/>
      <c r="X32" s="53"/>
      <c r="Y32" s="53"/>
      <c r="Z32" s="53">
        <v>2</v>
      </c>
      <c r="AA32" s="53"/>
      <c r="AB32" s="53"/>
      <c r="AC32" s="53">
        <v>4</v>
      </c>
      <c r="AD32" s="53"/>
      <c r="AE32" s="53"/>
      <c r="AF32" s="53"/>
      <c r="AG32" s="53"/>
      <c r="AH32" s="53"/>
      <c r="AI32" s="53">
        <v>2</v>
      </c>
      <c r="AJ32" s="53"/>
      <c r="AK32" s="53"/>
      <c r="AL32" s="53"/>
      <c r="AM32" s="53">
        <v>6</v>
      </c>
      <c r="AN32" s="53"/>
      <c r="AO32" s="53"/>
      <c r="AP32" s="53">
        <v>2</v>
      </c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>
        <v>4</v>
      </c>
      <c r="BB32" s="53">
        <v>2</v>
      </c>
      <c r="BC32" s="53"/>
      <c r="BD32" s="53"/>
      <c r="BE32" s="61"/>
      <c r="BF32" s="62">
        <f t="shared" si="2"/>
        <v>44</v>
      </c>
      <c r="BG32" s="39">
        <f t="shared" si="3"/>
        <v>18</v>
      </c>
      <c r="BH32" s="40">
        <f t="shared" si="4"/>
        <v>26</v>
      </c>
      <c r="BI32" s="42"/>
      <c r="BJ32" s="101"/>
      <c r="BK32" s="100"/>
      <c r="BL32" s="100"/>
      <c r="BM32" s="100"/>
      <c r="BN32" s="100"/>
      <c r="BO32" s="100"/>
      <c r="BP32" s="100"/>
      <c r="BQ32" s="100"/>
    </row>
    <row r="33" spans="1:69" ht="20.100000000000001" customHeight="1" thickBot="1">
      <c r="A33" s="103">
        <f>Успеваемость!A30</f>
        <v>19</v>
      </c>
      <c r="B33" s="166" t="str">
        <f>IF(ISBLANK(Успеваемость!B30), "", Успеваемость!B30)</f>
        <v>Садакова Анна Алексеевна</v>
      </c>
      <c r="C33" s="167"/>
      <c r="D33" s="167"/>
      <c r="E33" s="168"/>
      <c r="F33" s="64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>
        <v>6</v>
      </c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61"/>
      <c r="BF33" s="62">
        <f t="shared" si="2"/>
        <v>6</v>
      </c>
      <c r="BG33" s="39">
        <f t="shared" si="3"/>
        <v>0</v>
      </c>
      <c r="BH33" s="40">
        <f t="shared" si="4"/>
        <v>6</v>
      </c>
      <c r="BI33" s="42"/>
      <c r="BJ33" s="101"/>
      <c r="BK33" s="100"/>
      <c r="BL33" s="100"/>
      <c r="BM33" s="100"/>
      <c r="BN33" s="100"/>
      <c r="BO33" s="100"/>
      <c r="BP33" s="100"/>
      <c r="BQ33" s="100"/>
    </row>
    <row r="34" spans="1:69" ht="20.100000000000001" customHeight="1" thickBot="1">
      <c r="A34" s="103">
        <f>Успеваемость!A31</f>
        <v>20</v>
      </c>
      <c r="B34" s="166" t="str">
        <f>IF(ISBLANK(Успеваемость!B31), "", Успеваемость!B31)</f>
        <v>Русакова Ксения Евгеньевна</v>
      </c>
      <c r="C34" s="167"/>
      <c r="D34" s="167"/>
      <c r="E34" s="168"/>
      <c r="F34" s="64"/>
      <c r="G34" s="53"/>
      <c r="H34" s="53"/>
      <c r="I34" s="53">
        <v>2</v>
      </c>
      <c r="J34" s="53"/>
      <c r="K34" s="53">
        <v>8</v>
      </c>
      <c r="L34" s="53"/>
      <c r="M34" s="53">
        <v>4</v>
      </c>
      <c r="N34" s="53"/>
      <c r="O34" s="53"/>
      <c r="P34" s="53"/>
      <c r="Q34" s="53"/>
      <c r="R34" s="53"/>
      <c r="S34" s="53"/>
      <c r="T34" s="53"/>
      <c r="U34" s="53"/>
      <c r="V34" s="53"/>
      <c r="W34" s="53">
        <v>4</v>
      </c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>
        <v>6</v>
      </c>
      <c r="AP34" s="53"/>
      <c r="AQ34" s="53">
        <v>8</v>
      </c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>
        <v>6</v>
      </c>
      <c r="BC34" s="53"/>
      <c r="BD34" s="53"/>
      <c r="BE34" s="61"/>
      <c r="BF34" s="62">
        <f t="shared" si="2"/>
        <v>38</v>
      </c>
      <c r="BG34" s="39">
        <f t="shared" si="3"/>
        <v>6</v>
      </c>
      <c r="BH34" s="40">
        <f t="shared" si="4"/>
        <v>32</v>
      </c>
      <c r="BI34" s="42"/>
      <c r="BJ34" s="101"/>
      <c r="BK34" s="100"/>
      <c r="BL34" s="100"/>
      <c r="BM34" s="100"/>
      <c r="BN34" s="100"/>
      <c r="BO34" s="100"/>
      <c r="BP34" s="100"/>
      <c r="BQ34" s="100"/>
    </row>
    <row r="35" spans="1:69" ht="20.100000000000001" customHeight="1" thickBot="1">
      <c r="A35" s="103">
        <f>Успеваемость!A32</f>
        <v>21</v>
      </c>
      <c r="B35" s="166" t="str">
        <f>IF(ISBLANK(Успеваемость!B32), "", Успеваемость!B32)</f>
        <v>Усков Дмитрий Сергеевич</v>
      </c>
      <c r="C35" s="167"/>
      <c r="D35" s="167"/>
      <c r="E35" s="168"/>
      <c r="F35" s="64"/>
      <c r="G35" s="53">
        <v>4</v>
      </c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>
        <v>6</v>
      </c>
      <c r="AT35" s="53"/>
      <c r="AU35" s="53"/>
      <c r="AV35" s="53"/>
      <c r="AW35" s="53"/>
      <c r="AX35" s="53"/>
      <c r="AY35" s="53"/>
      <c r="AZ35" s="53"/>
      <c r="BA35" s="53"/>
      <c r="BB35" s="53"/>
      <c r="BC35" s="53">
        <v>8</v>
      </c>
      <c r="BD35" s="53"/>
      <c r="BE35" s="61"/>
      <c r="BF35" s="62">
        <f t="shared" si="2"/>
        <v>18</v>
      </c>
      <c r="BG35" s="39">
        <f t="shared" si="3"/>
        <v>0</v>
      </c>
      <c r="BH35" s="40">
        <f t="shared" si="4"/>
        <v>18</v>
      </c>
      <c r="BI35" s="42"/>
      <c r="BJ35" s="101"/>
      <c r="BK35" s="100"/>
      <c r="BL35" s="100"/>
      <c r="BM35" s="100"/>
      <c r="BN35" s="100"/>
      <c r="BO35" s="100"/>
      <c r="BP35" s="100"/>
      <c r="BQ35" s="100"/>
    </row>
    <row r="36" spans="1:69" ht="20.100000000000001" customHeight="1" thickBot="1">
      <c r="A36" s="103">
        <f>Успеваемость!A33</f>
        <v>22</v>
      </c>
      <c r="B36" s="166" t="str">
        <f>IF(ISBLANK(Успеваемость!B33), "", Успеваемость!B33)</f>
        <v>Утёмова Ксения Александровна</v>
      </c>
      <c r="C36" s="167"/>
      <c r="D36" s="167"/>
      <c r="E36" s="168"/>
      <c r="F36" s="64"/>
      <c r="G36" s="53"/>
      <c r="H36" s="53"/>
      <c r="I36" s="53"/>
      <c r="J36" s="53"/>
      <c r="K36" s="53"/>
      <c r="L36" s="53"/>
      <c r="M36" s="53"/>
      <c r="N36" s="53"/>
      <c r="O36" s="53">
        <v>8</v>
      </c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61"/>
      <c r="BF36" s="62">
        <f t="shared" si="2"/>
        <v>8</v>
      </c>
      <c r="BG36" s="39">
        <f t="shared" si="3"/>
        <v>0</v>
      </c>
      <c r="BH36" s="40">
        <f t="shared" si="4"/>
        <v>8</v>
      </c>
      <c r="BI36" s="42"/>
      <c r="BJ36" s="101"/>
      <c r="BK36" s="100"/>
      <c r="BL36" s="100"/>
      <c r="BM36" s="100"/>
      <c r="BN36" s="100"/>
      <c r="BO36" s="100"/>
      <c r="BP36" s="100"/>
      <c r="BQ36" s="100"/>
    </row>
    <row r="37" spans="1:69" ht="20.100000000000001" customHeight="1" thickBot="1">
      <c r="A37" s="103">
        <f>Успеваемость!A34</f>
        <v>23</v>
      </c>
      <c r="B37" s="166" t="str">
        <f>IF(ISBLANK(Успеваемость!B34), "", Успеваемость!B34)</f>
        <v>Федяев Никита Юрьевич</v>
      </c>
      <c r="C37" s="167"/>
      <c r="D37" s="167"/>
      <c r="E37" s="168"/>
      <c r="F37" s="64"/>
      <c r="G37" s="53"/>
      <c r="H37" s="53"/>
      <c r="I37" s="53"/>
      <c r="J37" s="53"/>
      <c r="K37" s="53"/>
      <c r="L37" s="53">
        <v>2</v>
      </c>
      <c r="M37" s="53"/>
      <c r="N37" s="53"/>
      <c r="O37" s="53"/>
      <c r="P37" s="53"/>
      <c r="Q37" s="53"/>
      <c r="R37" s="53"/>
      <c r="S37" s="53">
        <v>4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>
        <v>6</v>
      </c>
      <c r="AV37" s="53"/>
      <c r="AW37" s="53"/>
      <c r="AX37" s="53"/>
      <c r="AY37" s="53"/>
      <c r="AZ37" s="53"/>
      <c r="BA37" s="53"/>
      <c r="BB37" s="53">
        <v>4</v>
      </c>
      <c r="BC37" s="53"/>
      <c r="BD37" s="53"/>
      <c r="BE37" s="61"/>
      <c r="BF37" s="62">
        <f t="shared" si="2"/>
        <v>16</v>
      </c>
      <c r="BG37" s="39">
        <f t="shared" si="3"/>
        <v>6</v>
      </c>
      <c r="BH37" s="40">
        <f t="shared" si="4"/>
        <v>10</v>
      </c>
      <c r="BI37" s="42"/>
      <c r="BJ37" s="101"/>
      <c r="BK37" s="100"/>
      <c r="BL37" s="100"/>
      <c r="BM37" s="100"/>
      <c r="BN37" s="100"/>
      <c r="BO37" s="100"/>
      <c r="BP37" s="100"/>
      <c r="BQ37" s="100"/>
    </row>
    <row r="38" spans="1:69" ht="20.100000000000001" customHeight="1" thickBot="1">
      <c r="A38" s="103">
        <f>Успеваемость!A35</f>
        <v>24</v>
      </c>
      <c r="B38" s="166" t="str">
        <f>IF(ISBLANK(Успеваемость!B35), "", Успеваемость!B35)</f>
        <v>Черный Даниил Олегович</v>
      </c>
      <c r="C38" s="167"/>
      <c r="D38" s="167"/>
      <c r="E38" s="168"/>
      <c r="F38" s="64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61"/>
      <c r="BF38" s="62">
        <f t="shared" si="2"/>
        <v>0</v>
      </c>
      <c r="BG38" s="39">
        <f t="shared" si="3"/>
        <v>0</v>
      </c>
      <c r="BH38" s="40">
        <f t="shared" si="4"/>
        <v>0</v>
      </c>
      <c r="BI38" s="42"/>
      <c r="BJ38" s="101"/>
      <c r="BK38" s="100"/>
      <c r="BL38" s="100"/>
      <c r="BM38" s="100"/>
      <c r="BN38" s="100"/>
      <c r="BO38" s="100"/>
      <c r="BP38" s="100"/>
      <c r="BQ38" s="100"/>
    </row>
    <row r="39" spans="1:69" ht="20.100000000000001" customHeight="1" thickBot="1">
      <c r="A39" s="103">
        <f>Успеваемость!A36</f>
        <v>25</v>
      </c>
      <c r="B39" s="166" t="str">
        <f>IF(ISBLANK(Успеваемость!B36), "", Успеваемость!B36)</f>
        <v>Чупраков Денис Сергеевич</v>
      </c>
      <c r="C39" s="167"/>
      <c r="D39" s="167"/>
      <c r="E39" s="168"/>
      <c r="F39" s="64"/>
      <c r="G39" s="53"/>
      <c r="H39" s="53"/>
      <c r="I39" s="53">
        <v>8</v>
      </c>
      <c r="J39" s="53"/>
      <c r="K39" s="53"/>
      <c r="L39" s="53"/>
      <c r="M39" s="53"/>
      <c r="N39" s="53"/>
      <c r="O39" s="53">
        <v>8</v>
      </c>
      <c r="P39" s="53"/>
      <c r="Q39" s="53">
        <v>8</v>
      </c>
      <c r="R39" s="53"/>
      <c r="S39" s="53">
        <v>4</v>
      </c>
      <c r="T39" s="53"/>
      <c r="U39" s="53"/>
      <c r="V39" s="53"/>
      <c r="W39" s="53">
        <v>8</v>
      </c>
      <c r="X39" s="53"/>
      <c r="Y39" s="53">
        <v>8</v>
      </c>
      <c r="Z39" s="53"/>
      <c r="AA39" s="53">
        <v>8</v>
      </c>
      <c r="AB39" s="53"/>
      <c r="AC39" s="53">
        <v>6</v>
      </c>
      <c r="AD39" s="53"/>
      <c r="AE39" s="53">
        <v>4</v>
      </c>
      <c r="AF39" s="53"/>
      <c r="AG39" s="53">
        <v>4</v>
      </c>
      <c r="AH39" s="53"/>
      <c r="AI39" s="53">
        <v>8</v>
      </c>
      <c r="AJ39" s="53"/>
      <c r="AK39" s="53"/>
      <c r="AL39" s="53"/>
      <c r="AM39" s="53">
        <v>8</v>
      </c>
      <c r="AN39" s="53"/>
      <c r="AO39" s="53"/>
      <c r="AP39" s="53"/>
      <c r="AQ39" s="53"/>
      <c r="AR39" s="53"/>
      <c r="AS39" s="53"/>
      <c r="AT39" s="53"/>
      <c r="AU39" s="53">
        <v>6</v>
      </c>
      <c r="AV39" s="53"/>
      <c r="AW39" s="53"/>
      <c r="AX39" s="53"/>
      <c r="AY39" s="53"/>
      <c r="AZ39" s="53"/>
      <c r="BA39" s="53">
        <v>4</v>
      </c>
      <c r="BB39" s="53"/>
      <c r="BC39" s="53"/>
      <c r="BD39" s="53"/>
      <c r="BE39" s="61"/>
      <c r="BF39" s="62">
        <f t="shared" si="2"/>
        <v>92</v>
      </c>
      <c r="BG39" s="39">
        <f t="shared" si="3"/>
        <v>0</v>
      </c>
      <c r="BH39" s="40">
        <f t="shared" si="4"/>
        <v>92</v>
      </c>
      <c r="BI39" s="42"/>
      <c r="BJ39" s="101"/>
      <c r="BK39" s="100"/>
      <c r="BL39" s="100"/>
      <c r="BM39" s="100"/>
      <c r="BN39" s="100"/>
      <c r="BO39" s="100"/>
      <c r="BP39" s="100"/>
      <c r="BQ39" s="100"/>
    </row>
    <row r="40" spans="1:69" ht="20.100000000000001" customHeight="1" thickBot="1">
      <c r="A40" s="103">
        <f>Успеваемость!A37</f>
        <v>26</v>
      </c>
      <c r="B40" s="166" t="str">
        <f>IF(ISBLANK(Успеваемость!B37), "", Успеваемость!B37)</f>
        <v>Шаклеин Арсений Вадимович</v>
      </c>
      <c r="C40" s="167"/>
      <c r="D40" s="167"/>
      <c r="E40" s="168"/>
      <c r="F40" s="64"/>
      <c r="G40" s="53"/>
      <c r="H40" s="53"/>
      <c r="I40" s="53">
        <v>8</v>
      </c>
      <c r="J40" s="53"/>
      <c r="K40" s="53">
        <v>8</v>
      </c>
      <c r="L40" s="53"/>
      <c r="M40" s="53">
        <v>4</v>
      </c>
      <c r="N40" s="53"/>
      <c r="O40" s="53"/>
      <c r="P40" s="53"/>
      <c r="Q40" s="53"/>
      <c r="R40" s="53"/>
      <c r="S40" s="53">
        <v>4</v>
      </c>
      <c r="T40" s="53"/>
      <c r="U40" s="53"/>
      <c r="V40" s="53"/>
      <c r="W40" s="53"/>
      <c r="X40" s="53"/>
      <c r="Y40" s="53"/>
      <c r="Z40" s="53"/>
      <c r="AA40" s="53"/>
      <c r="AB40" s="53"/>
      <c r="AC40" s="53">
        <v>4</v>
      </c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61"/>
      <c r="BF40" s="62">
        <f t="shared" si="2"/>
        <v>28</v>
      </c>
      <c r="BG40" s="39">
        <f t="shared" si="3"/>
        <v>0</v>
      </c>
      <c r="BH40" s="40">
        <f t="shared" si="4"/>
        <v>28</v>
      </c>
      <c r="BI40" s="42"/>
      <c r="BJ40" s="101"/>
      <c r="BK40" s="100"/>
      <c r="BL40" s="100"/>
      <c r="BM40" s="100"/>
      <c r="BN40" s="100"/>
      <c r="BO40" s="100"/>
      <c r="BP40" s="100"/>
      <c r="BQ40" s="100"/>
    </row>
    <row r="41" spans="1:69" ht="20.100000000000001" customHeight="1" thickBot="1">
      <c r="A41" s="103">
        <f>Успеваемость!A38</f>
        <v>27</v>
      </c>
      <c r="B41" s="166" t="str">
        <f>IF(ISBLANK(Успеваемость!B38), "", Успеваемость!B38)</f>
        <v>Беляев Макар Леонидович</v>
      </c>
      <c r="C41" s="167"/>
      <c r="D41" s="167"/>
      <c r="E41" s="168"/>
      <c r="F41" s="64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>
        <v>4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61"/>
      <c r="BF41" s="62">
        <f t="shared" si="2"/>
        <v>4</v>
      </c>
      <c r="BG41" s="39">
        <f t="shared" si="3"/>
        <v>0</v>
      </c>
      <c r="BH41" s="40">
        <f t="shared" si="4"/>
        <v>4</v>
      </c>
      <c r="BI41" s="42"/>
      <c r="BJ41" s="101"/>
      <c r="BK41" s="100"/>
      <c r="BL41" s="100"/>
      <c r="BM41" s="100"/>
      <c r="BN41" s="100"/>
      <c r="BO41" s="100"/>
      <c r="BP41" s="100"/>
      <c r="BQ41" s="100"/>
    </row>
    <row r="42" spans="1:69" ht="20.100000000000001" customHeight="1" thickBot="1">
      <c r="A42" s="103">
        <f>Успеваемость!A39</f>
        <v>28</v>
      </c>
      <c r="B42" s="166" t="str">
        <f>IF(ISBLANK(Успеваемость!B39), "", Успеваемость!B39)</f>
        <v>Бильчук Максим Алексеевич</v>
      </c>
      <c r="C42" s="167"/>
      <c r="D42" s="167"/>
      <c r="E42" s="168"/>
      <c r="F42" s="71"/>
      <c r="G42" s="72"/>
      <c r="H42" s="72"/>
      <c r="I42" s="72"/>
      <c r="J42" s="72"/>
      <c r="K42" s="72"/>
      <c r="L42" s="72"/>
      <c r="M42" s="72"/>
      <c r="N42" s="72">
        <v>2</v>
      </c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>
        <v>8</v>
      </c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3"/>
      <c r="BF42" s="62">
        <f t="shared" ref="BF42:BF45" si="5">IF(B42="", "", SUM(F42:BE42))</f>
        <v>10</v>
      </c>
      <c r="BG42" s="39">
        <f t="shared" ref="BG42:BG44" si="6">IF(B42="", "", SUMIF($F$14:$BE$14,"Б",F42:BE42))</f>
        <v>2</v>
      </c>
      <c r="BH42" s="40">
        <f t="shared" ref="BH42:BH45" si="7">IF(B42="", "", SUMIF($F$14:$BE$14,"У",F42:BE42))</f>
        <v>8</v>
      </c>
      <c r="BI42" s="42"/>
      <c r="BJ42" s="101"/>
      <c r="BK42" s="100"/>
      <c r="BL42" s="100"/>
      <c r="BM42" s="100"/>
      <c r="BN42" s="100"/>
      <c r="BO42" s="100"/>
      <c r="BP42" s="100"/>
      <c r="BQ42" s="100"/>
    </row>
    <row r="43" spans="1:69" ht="20.100000000000001" customHeight="1" thickBot="1">
      <c r="A43" s="103">
        <f>Успеваемость!A40</f>
        <v>29</v>
      </c>
      <c r="B43" s="166" t="str">
        <f>IF(ISBLANK(Успеваемость!B40), "", Успеваемость!B40)</f>
        <v>Гудин Евгений Андреевич</v>
      </c>
      <c r="C43" s="167"/>
      <c r="D43" s="167"/>
      <c r="E43" s="168"/>
      <c r="F43" s="71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>
        <v>8</v>
      </c>
      <c r="X43" s="72"/>
      <c r="Y43" s="72">
        <v>8</v>
      </c>
      <c r="Z43" s="72"/>
      <c r="AA43" s="72">
        <v>8</v>
      </c>
      <c r="AB43" s="72"/>
      <c r="AC43" s="72">
        <v>6</v>
      </c>
      <c r="AD43" s="72"/>
      <c r="AE43" s="72">
        <v>4</v>
      </c>
      <c r="AF43" s="72"/>
      <c r="AG43" s="72">
        <v>6</v>
      </c>
      <c r="AH43" s="72"/>
      <c r="AI43" s="72">
        <v>8</v>
      </c>
      <c r="AJ43" s="72"/>
      <c r="AK43" s="72">
        <v>4</v>
      </c>
      <c r="AL43" s="72"/>
      <c r="AM43" s="72">
        <v>8</v>
      </c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3"/>
      <c r="BF43" s="62">
        <f t="shared" si="5"/>
        <v>60</v>
      </c>
      <c r="BG43" s="39">
        <f t="shared" si="6"/>
        <v>0</v>
      </c>
      <c r="BH43" s="40">
        <f t="shared" si="7"/>
        <v>60</v>
      </c>
      <c r="BI43" s="42"/>
      <c r="BJ43" s="101"/>
      <c r="BK43" s="100"/>
      <c r="BL43" s="100"/>
      <c r="BM43" s="100"/>
      <c r="BN43" s="100"/>
      <c r="BO43" s="100"/>
      <c r="BP43" s="100"/>
      <c r="BQ43" s="100"/>
    </row>
    <row r="44" spans="1:69" ht="20.100000000000001" customHeight="1" thickBot="1">
      <c r="A44" s="103">
        <f>Успеваемость!A41</f>
        <v>30</v>
      </c>
      <c r="B44" s="166" t="str">
        <f>IF(ISBLANK(Успеваемость!B41), "", Успеваемость!B41)</f>
        <v>Конышев Иван Сергеевич</v>
      </c>
      <c r="C44" s="167"/>
      <c r="D44" s="167"/>
      <c r="E44" s="168"/>
      <c r="F44" s="71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>
        <v>4</v>
      </c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>
        <v>4</v>
      </c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3"/>
      <c r="BF44" s="62">
        <f t="shared" si="5"/>
        <v>8</v>
      </c>
      <c r="BG44" s="39">
        <f t="shared" si="6"/>
        <v>0</v>
      </c>
      <c r="BH44" s="40">
        <f t="shared" si="7"/>
        <v>8</v>
      </c>
      <c r="BI44" s="42"/>
      <c r="BJ44" s="101"/>
      <c r="BK44" s="100"/>
      <c r="BL44" s="100"/>
      <c r="BM44" s="100"/>
      <c r="BN44" s="100"/>
      <c r="BO44" s="100"/>
      <c r="BP44" s="100"/>
      <c r="BQ44" s="100"/>
    </row>
    <row r="45" spans="1:69" ht="20.100000000000001" customHeight="1">
      <c r="A45" s="103">
        <f>Успеваемость!A42</f>
        <v>31</v>
      </c>
      <c r="B45" s="166" t="str">
        <f>IF(ISBLANK(Успеваемость!B42), "", Успеваемость!B42)</f>
        <v>Котанджян Валерий Каренович</v>
      </c>
      <c r="C45" s="167"/>
      <c r="D45" s="167"/>
      <c r="E45" s="168"/>
      <c r="F45" s="71"/>
      <c r="G45" s="72">
        <v>4</v>
      </c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>
        <v>4</v>
      </c>
      <c r="AB45" s="72"/>
      <c r="AC45" s="72"/>
      <c r="AD45" s="72"/>
      <c r="AE45" s="72">
        <v>4</v>
      </c>
      <c r="AF45" s="72"/>
      <c r="AG45" s="72"/>
      <c r="AH45" s="72"/>
      <c r="AI45" s="72"/>
      <c r="AJ45" s="72"/>
      <c r="AK45" s="72">
        <v>4</v>
      </c>
      <c r="AL45" s="72"/>
      <c r="AM45" s="72">
        <v>8</v>
      </c>
      <c r="AN45" s="72"/>
      <c r="AO45" s="72">
        <v>4</v>
      </c>
      <c r="AP45" s="72"/>
      <c r="AQ45" s="72">
        <v>8</v>
      </c>
      <c r="AR45" s="72">
        <v>2</v>
      </c>
      <c r="AS45" s="72"/>
      <c r="AT45" s="72"/>
      <c r="AU45" s="72"/>
      <c r="AV45" s="72"/>
      <c r="AW45" s="72"/>
      <c r="AX45" s="72"/>
      <c r="AY45" s="72"/>
      <c r="AZ45" s="72"/>
      <c r="BA45" s="72">
        <v>4</v>
      </c>
      <c r="BB45" s="72"/>
      <c r="BC45" s="72"/>
      <c r="BD45" s="72"/>
      <c r="BE45" s="73"/>
      <c r="BF45" s="62">
        <f t="shared" si="5"/>
        <v>42</v>
      </c>
      <c r="BG45" s="39">
        <f>IF(B45="", "", SUMIF($F$14:$BE$14,"Б",F45:BE45))</f>
        <v>2</v>
      </c>
      <c r="BH45" s="40">
        <f t="shared" si="7"/>
        <v>40</v>
      </c>
      <c r="BI45" s="42"/>
      <c r="BJ45" s="101"/>
      <c r="BK45" s="100"/>
      <c r="BL45" s="100"/>
      <c r="BM45" s="100"/>
      <c r="BN45" s="100"/>
      <c r="BO45" s="100"/>
      <c r="BP45" s="100"/>
      <c r="BQ45" s="100"/>
    </row>
    <row r="46" spans="1:69">
      <c r="A46" s="77"/>
      <c r="B46" s="77"/>
      <c r="C46" s="77"/>
      <c r="D46" s="77"/>
      <c r="E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7"/>
      <c r="BE46" s="77"/>
      <c r="BF46" s="77"/>
      <c r="BG46" s="77"/>
      <c r="BH46" s="77"/>
      <c r="BI46" s="77"/>
      <c r="BJ46" s="77"/>
    </row>
    <row r="47" spans="1:69" ht="22.5" customHeight="1">
      <c r="A47" s="35" t="s">
        <v>40</v>
      </c>
      <c r="B47" s="35"/>
      <c r="C47" s="35"/>
      <c r="D47" s="35"/>
      <c r="E47" s="35"/>
      <c r="F47" s="35"/>
      <c r="G47" s="175">
        <f>SUM(BF15:BF45)</f>
        <v>654</v>
      </c>
      <c r="H47" s="175"/>
      <c r="I47" s="35"/>
      <c r="J47" s="35"/>
      <c r="K47" s="35"/>
      <c r="P47" s="35"/>
      <c r="Q47" s="36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173" t="s">
        <v>54</v>
      </c>
      <c r="AE47" s="173"/>
      <c r="AF47" s="173"/>
      <c r="AG47" s="173"/>
      <c r="AH47" s="173"/>
      <c r="AI47" s="173"/>
      <c r="AJ47" s="173"/>
      <c r="AK47" s="173"/>
      <c r="AL47" s="173"/>
      <c r="AM47" s="175"/>
      <c r="AN47" s="175"/>
      <c r="AO47" s="175"/>
      <c r="AP47" s="175"/>
      <c r="AQ47" s="38"/>
      <c r="AR47" s="38"/>
      <c r="AS47" s="38"/>
      <c r="AT47" s="38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54" t="s">
        <v>42</v>
      </c>
      <c r="BF47" s="35"/>
      <c r="BG47" s="35"/>
      <c r="BH47" s="35"/>
      <c r="BI47" s="35"/>
      <c r="BJ47" s="77"/>
    </row>
    <row r="48" spans="1:69" ht="22.5" customHeight="1">
      <c r="A48" s="35" t="s">
        <v>41</v>
      </c>
      <c r="B48" s="35"/>
      <c r="C48" s="35"/>
      <c r="D48" s="35"/>
      <c r="E48" s="35"/>
      <c r="G48" s="176" t="e">
        <f>(COUNTA(B15:E45)*BH8-G47)/(COUNTA(B15:E45)*BH8)</f>
        <v>#DIV/0!</v>
      </c>
      <c r="H48" s="176"/>
      <c r="K48" s="35"/>
      <c r="N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173" t="s">
        <v>55</v>
      </c>
      <c r="AE48" s="173"/>
      <c r="AF48" s="173"/>
      <c r="AG48" s="173"/>
      <c r="AH48" s="173"/>
      <c r="AI48" s="173"/>
      <c r="AJ48" s="173"/>
      <c r="AK48" s="173"/>
      <c r="AL48" s="173"/>
      <c r="AM48" s="173"/>
      <c r="AN48" s="173"/>
      <c r="AO48" s="173"/>
      <c r="AP48" s="173"/>
      <c r="AQ48" s="175"/>
      <c r="AR48" s="175"/>
      <c r="AS48" s="175"/>
      <c r="AT48" s="17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77"/>
    </row>
    <row r="49" spans="1:61" ht="33.75" customHeight="1">
      <c r="A49" s="172" t="s">
        <v>52</v>
      </c>
      <c r="B49" s="172"/>
      <c r="C49" s="172"/>
      <c r="D49" s="172"/>
      <c r="E49" s="172"/>
      <c r="F49" s="172"/>
      <c r="G49" s="171" t="e">
        <f>SUM(BG15:BG45)/(COUNTA(B15:E45)*BH8)</f>
        <v>#DIV/0!</v>
      </c>
      <c r="H49" s="171"/>
      <c r="I49" s="50"/>
      <c r="J49" s="50"/>
      <c r="K49" s="50"/>
      <c r="L49" s="35"/>
      <c r="M49" s="35"/>
      <c r="N49" s="35"/>
      <c r="O49" s="35"/>
      <c r="P49" s="35"/>
      <c r="Q49" s="35"/>
      <c r="R49" s="35"/>
      <c r="S49" s="35"/>
      <c r="T49" s="37"/>
      <c r="U49" s="37"/>
      <c r="V49" s="37"/>
      <c r="W49" s="37"/>
      <c r="X49" s="37"/>
      <c r="Y49" s="37"/>
      <c r="Z49" s="37"/>
      <c r="AA49" s="37"/>
      <c r="AB49" s="35"/>
      <c r="AC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U49" s="35"/>
      <c r="AV49" s="37"/>
      <c r="AW49" s="37"/>
      <c r="AX49" s="37"/>
      <c r="AY49" s="37"/>
      <c r="AZ49" s="37"/>
      <c r="BA49" s="37"/>
      <c r="BB49" s="37"/>
      <c r="BC49" s="37"/>
      <c r="BD49" s="174"/>
      <c r="BE49" s="174"/>
      <c r="BF49" s="37"/>
      <c r="BG49" s="37"/>
      <c r="BH49" s="37"/>
      <c r="BI49" s="37"/>
    </row>
    <row r="50" spans="1:61" ht="30.75" customHeight="1">
      <c r="A50" s="170" t="s">
        <v>56</v>
      </c>
      <c r="B50" s="170"/>
      <c r="C50" s="170"/>
      <c r="D50" s="170"/>
      <c r="E50" s="170"/>
      <c r="F50" s="170"/>
      <c r="G50" s="171" t="e">
        <f>SUM(BH15:BH45)/(COUNTA(B15:E45)*BH8)</f>
        <v>#DIV/0!</v>
      </c>
      <c r="H50" s="171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BD50" s="169"/>
      <c r="BE50" s="169"/>
    </row>
  </sheetData>
  <sheetProtection selectLockedCells="1"/>
  <mergeCells count="87"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  <mergeCell ref="H13:I13"/>
    <mergeCell ref="AV8:BG8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A1:BI1"/>
    <mergeCell ref="A2:BI2"/>
    <mergeCell ref="A3:BI3"/>
    <mergeCell ref="A4:BI4"/>
    <mergeCell ref="A6:AD6"/>
    <mergeCell ref="AE6:AH6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B19:E19"/>
    <mergeCell ref="G47:H47"/>
    <mergeCell ref="G48:H48"/>
    <mergeCell ref="AM47:AP47"/>
    <mergeCell ref="B20:E20"/>
    <mergeCell ref="B26:E26"/>
    <mergeCell ref="B28:E28"/>
    <mergeCell ref="B25:E25"/>
    <mergeCell ref="B27:E27"/>
    <mergeCell ref="B21:E21"/>
    <mergeCell ref="B22:E22"/>
    <mergeCell ref="B23:E23"/>
    <mergeCell ref="B24:E24"/>
    <mergeCell ref="B29:E29"/>
    <mergeCell ref="B42:E42"/>
    <mergeCell ref="B43:E43"/>
    <mergeCell ref="BD50:BE50"/>
    <mergeCell ref="A50:F50"/>
    <mergeCell ref="G50:H50"/>
    <mergeCell ref="A49:F49"/>
    <mergeCell ref="AD47:AL47"/>
    <mergeCell ref="G49:H49"/>
    <mergeCell ref="AD48:AP48"/>
    <mergeCell ref="BD49:BE49"/>
    <mergeCell ref="AQ48:AT48"/>
    <mergeCell ref="B44:E44"/>
    <mergeCell ref="B45:E45"/>
    <mergeCell ref="B30:E30"/>
    <mergeCell ref="B31:E31"/>
    <mergeCell ref="B32:E32"/>
    <mergeCell ref="B33:E33"/>
    <mergeCell ref="B34:E34"/>
    <mergeCell ref="B39:E39"/>
    <mergeCell ref="B40:E40"/>
    <mergeCell ref="B41:E41"/>
    <mergeCell ref="B35:E35"/>
    <mergeCell ref="B36:E36"/>
    <mergeCell ref="B37:E37"/>
    <mergeCell ref="B38:E38"/>
  </mergeCells>
  <conditionalFormatting sqref="BG15:BG45">
    <cfRule type="cellIs" dxfId="2" priority="2" operator="equal">
      <formula>""</formula>
    </cfRule>
    <cfRule type="cellIs" dxfId="1" priority="5" stopIfTrue="1" operator="greaterThan">
      <formula>20</formula>
    </cfRule>
  </conditionalFormatting>
  <conditionalFormatting sqref="BH8:BI8 F13:AX13 AZ13 BD13 BB13">
    <cfRule type="cellIs" dxfId="0" priority="4" operator="equal">
      <formula>""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>
    <tabColor theme="7" tint="0.39997558519241921"/>
  </sheetPr>
  <dimension ref="A2:M58"/>
  <sheetViews>
    <sheetView showGridLines="0" zoomScale="85" zoomScaleNormal="134" workbookViewId="0">
      <selection activeCell="N17" sqref="N17"/>
    </sheetView>
  </sheetViews>
  <sheetFormatPr defaultRowHeight="14.4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>
      <c r="A2" s="165" t="s">
        <v>45</v>
      </c>
      <c r="B2" s="165"/>
      <c r="C2" s="165"/>
      <c r="D2" s="165"/>
      <c r="E2" s="165"/>
      <c r="F2" s="165"/>
      <c r="G2" s="165"/>
      <c r="H2" s="165"/>
      <c r="I2" s="43"/>
      <c r="J2" s="43"/>
      <c r="K2" s="8"/>
      <c r="L2" s="8"/>
      <c r="M2" s="8"/>
    </row>
    <row r="3" spans="1:13" ht="15.6">
      <c r="B3" s="45" t="s">
        <v>44</v>
      </c>
      <c r="C3" s="46" t="str">
        <f>Успеваемость!G7</f>
        <v>апрель</v>
      </c>
      <c r="D3" s="43" t="str">
        <f>Успеваемость!I7</f>
        <v>2022-2023 УЧЕБНОГО ГОДА</v>
      </c>
      <c r="G3" s="8"/>
      <c r="H3" s="8"/>
      <c r="I3" s="43"/>
      <c r="J3" s="43"/>
      <c r="K3" s="8"/>
      <c r="L3" s="8"/>
      <c r="M3" s="8"/>
    </row>
    <row r="4" spans="1:13" ht="15.6">
      <c r="A4" s="45"/>
      <c r="B4" s="46"/>
      <c r="C4" s="43"/>
      <c r="G4" s="8"/>
      <c r="H4" s="8"/>
      <c r="I4" s="43"/>
      <c r="J4" s="43"/>
      <c r="K4" s="8"/>
      <c r="L4" s="8"/>
      <c r="M4" s="8"/>
    </row>
    <row r="5" spans="1:13" ht="15.6">
      <c r="A5" s="44" t="s">
        <v>3</v>
      </c>
      <c r="B5" s="48">
        <v>18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8"/>
    </row>
    <row r="6" spans="1:13" ht="15.6">
      <c r="A6" s="44" t="s">
        <v>48</v>
      </c>
      <c r="B6" s="43" t="str">
        <f>LOOKUP(B5,Успеваемость!A12:A42,Успеваемость!B12:B42)</f>
        <v>Прыщенко Арсений Алексеевич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8"/>
    </row>
    <row r="7" spans="1:13" ht="15.6">
      <c r="A7" s="44" t="s">
        <v>51</v>
      </c>
      <c r="B7" s="44" t="str">
        <f>SUBSTITUTE(SUBSTITUTE(Успеваемость!A9, "Группа ", ""), "группа ", "")</f>
        <v>ИСПк-104/107-52-00</v>
      </c>
      <c r="C7" s="44"/>
      <c r="D7" s="43"/>
      <c r="E7" s="43"/>
      <c r="F7" s="43"/>
      <c r="G7" s="43"/>
      <c r="H7" s="43"/>
      <c r="I7" s="43"/>
      <c r="J7" s="43"/>
      <c r="K7" s="43"/>
      <c r="L7" s="43"/>
      <c r="M7" s="8"/>
    </row>
    <row r="8" spans="1:13" ht="15.6">
      <c r="A8" s="44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8"/>
    </row>
    <row r="9" spans="1:13" ht="15.6">
      <c r="A9" s="214" t="s">
        <v>46</v>
      </c>
      <c r="B9" s="214"/>
      <c r="C9" s="214"/>
      <c r="D9" s="214"/>
      <c r="E9" s="214"/>
      <c r="F9" s="214"/>
      <c r="G9" s="214"/>
      <c r="H9" s="49" t="s">
        <v>47</v>
      </c>
      <c r="I9" s="43"/>
      <c r="J9" s="43"/>
      <c r="K9" s="43"/>
      <c r="L9" s="43"/>
      <c r="M9" s="8"/>
    </row>
    <row r="10" spans="1:13" ht="15.6">
      <c r="A10" s="213" t="str">
        <f>IF(Успеваемость!C$11="", "", Успеваемость!C$11)</f>
        <v>Русский язык</v>
      </c>
      <c r="B10" s="213"/>
      <c r="C10" s="213"/>
      <c r="D10" s="213"/>
      <c r="E10" s="213"/>
      <c r="F10" s="213"/>
      <c r="G10" s="213"/>
      <c r="H10" s="47">
        <f>IF(A10="", "", LOOKUP($B$5,Успеваемость!$A$12:$A$42, Успеваемость!C$12:C$42))</f>
        <v>0</v>
      </c>
      <c r="I10" s="44"/>
      <c r="J10" s="44"/>
      <c r="K10" s="44"/>
      <c r="L10" s="44"/>
      <c r="M10" s="8"/>
    </row>
    <row r="11" spans="1:13" ht="15.6">
      <c r="A11" s="213" t="str">
        <f>IF(Успеваемость!D$11="", "", Успеваемость!D$11)</f>
        <v>Литература</v>
      </c>
      <c r="B11" s="213"/>
      <c r="C11" s="213"/>
      <c r="D11" s="213"/>
      <c r="E11" s="213"/>
      <c r="F11" s="213"/>
      <c r="G11" s="213"/>
      <c r="H11" s="47">
        <f>IF(A11="", "",LOOKUP($B$5,Успеваемость!$A$12:$A$42,Успеваемость!D$12:D$42))</f>
        <v>0</v>
      </c>
      <c r="I11" s="8"/>
      <c r="J11" s="8"/>
      <c r="K11" s="8"/>
      <c r="L11" s="8"/>
      <c r="M11" s="8"/>
    </row>
    <row r="12" spans="1:13" ht="15.6">
      <c r="A12" s="213" t="str">
        <f>IF(Успеваемость!E$11="", "", Успеваемость!E$11)</f>
        <v>Иностранный язык</v>
      </c>
      <c r="B12" s="213"/>
      <c r="C12" s="213"/>
      <c r="D12" s="213"/>
      <c r="E12" s="213"/>
      <c r="F12" s="213"/>
      <c r="G12" s="213"/>
      <c r="H12" s="47">
        <f>IF(A12="", "",LOOKUP($B$5,Успеваемость!$A$12:$A$42,Успеваемость!E$12:E$42))</f>
        <v>5</v>
      </c>
      <c r="I12" s="8"/>
      <c r="J12" s="8"/>
      <c r="K12" s="8"/>
      <c r="L12" s="8"/>
      <c r="M12" s="8"/>
    </row>
    <row r="13" spans="1:13" ht="15.6">
      <c r="A13" s="213" t="str">
        <f>IF(Успеваемость!F$11="", "", Успеваемость!F$11)</f>
        <v xml:space="preserve">Математика </v>
      </c>
      <c r="B13" s="213"/>
      <c r="C13" s="213"/>
      <c r="D13" s="213"/>
      <c r="E13" s="213"/>
      <c r="F13" s="213"/>
      <c r="G13" s="213"/>
      <c r="H13" s="47">
        <f>IF(A13="", "",LOOKUP($B$5,Успеваемость!$A$12:$A$42,Успеваемость!F$12:F$42))</f>
        <v>2</v>
      </c>
      <c r="I13" s="8"/>
      <c r="J13" s="8"/>
      <c r="K13" s="8"/>
      <c r="L13" s="8"/>
      <c r="M13" s="8"/>
    </row>
    <row r="14" spans="1:13" ht="15.6">
      <c r="A14" s="213" t="str">
        <f>IF(Успеваемость!G$11="", "", Успеваемость!G$11)</f>
        <v>История</v>
      </c>
      <c r="B14" s="213"/>
      <c r="C14" s="213"/>
      <c r="D14" s="213"/>
      <c r="E14" s="213"/>
      <c r="F14" s="213"/>
      <c r="G14" s="213"/>
      <c r="H14" s="47" t="str">
        <f>IF(A14="", "",LOOKUP($B$5,Успеваемость!$A$12:$A$42,Успеваемость!G$12:G$42))</f>
        <v>н/а</v>
      </c>
      <c r="I14" s="8"/>
      <c r="J14" s="8"/>
      <c r="K14" s="8"/>
      <c r="L14" s="8"/>
      <c r="M14" s="8"/>
    </row>
    <row r="15" spans="1:13" ht="15.6">
      <c r="A15" s="213" t="str">
        <f>IF(Успеваемость!H$11="", "", Успеваемость!H$11)</f>
        <v>Физическая культура</v>
      </c>
      <c r="B15" s="213"/>
      <c r="C15" s="213"/>
      <c r="D15" s="213"/>
      <c r="E15" s="213"/>
      <c r="F15" s="213"/>
      <c r="G15" s="213"/>
      <c r="H15" s="47">
        <f>IF(A15="", "",LOOKUP($B$5,Успеваемость!$A$12:$A$42,Успеваемость!H$12:H$42))</f>
        <v>4</v>
      </c>
      <c r="I15" s="8"/>
      <c r="J15" s="8"/>
      <c r="K15" s="8"/>
      <c r="L15" s="8"/>
      <c r="M15" s="8"/>
    </row>
    <row r="16" spans="1:13" ht="15.6">
      <c r="A16" s="213" t="str">
        <f>IF(Успеваемость!I$11="", "", Успеваемость!I$11)</f>
        <v>Основы безопасности жизнедеятельности</v>
      </c>
      <c r="B16" s="213"/>
      <c r="C16" s="213"/>
      <c r="D16" s="213"/>
      <c r="E16" s="213"/>
      <c r="F16" s="213"/>
      <c r="G16" s="213"/>
      <c r="H16" s="47">
        <f>IF(A16="", "",LOOKUP($B$5,Успеваемость!$A$12:$A$42,Успеваемость!I$12:I$42))</f>
        <v>2</v>
      </c>
      <c r="I16" s="8"/>
      <c r="J16" s="8"/>
      <c r="K16" s="8"/>
      <c r="L16" s="8"/>
      <c r="M16" s="8"/>
    </row>
    <row r="17" spans="1:13" ht="15.6">
      <c r="A17" s="213" t="str">
        <f>IF(Успеваемость!J$11="", "", Успеваемость!J$11)</f>
        <v xml:space="preserve">Информатика </v>
      </c>
      <c r="B17" s="213"/>
      <c r="C17" s="213"/>
      <c r="D17" s="213"/>
      <c r="E17" s="213"/>
      <c r="F17" s="213"/>
      <c r="G17" s="213"/>
      <c r="H17" s="47">
        <f>IF(A17="", "",LOOKUP($B$5,Успеваемость!$A$12:$A$42,Успеваемость!J$12:J$42))</f>
        <v>0</v>
      </c>
      <c r="I17" s="8"/>
      <c r="J17" s="8"/>
      <c r="K17" s="8"/>
      <c r="L17" s="8"/>
      <c r="M17" s="8"/>
    </row>
    <row r="18" spans="1:13" ht="15.6">
      <c r="A18" s="213" t="str">
        <f>IF(Успеваемость!K$11="", "", Успеваемость!K$11)</f>
        <v>Физика</v>
      </c>
      <c r="B18" s="213"/>
      <c r="C18" s="213"/>
      <c r="D18" s="213"/>
      <c r="E18" s="213"/>
      <c r="F18" s="213"/>
      <c r="G18" s="213"/>
      <c r="H18" s="47">
        <f>IF(A18="", "",LOOKUP($B$5,Успеваемость!$A$12:$A$42,Успеваемость!K$12:K$42))</f>
        <v>2</v>
      </c>
      <c r="I18" s="8"/>
      <c r="J18" s="8"/>
      <c r="K18" s="8"/>
      <c r="L18" s="8"/>
      <c r="M18" s="8"/>
    </row>
    <row r="19" spans="1:13" ht="15.6">
      <c r="A19" s="213" t="str">
        <f>IF(Успеваемость!L$11="", "", Успеваемость!L$11)</f>
        <v>Основы проектной деятельности</v>
      </c>
      <c r="B19" s="213"/>
      <c r="C19" s="213"/>
      <c r="D19" s="213"/>
      <c r="E19" s="213"/>
      <c r="F19" s="213"/>
      <c r="G19" s="213"/>
      <c r="H19" s="47">
        <f>IF(A19="", "",LOOKUP($B$5,Успеваемость!$A$12:$A$42,Успеваемость!L$12:L$42))</f>
        <v>4</v>
      </c>
      <c r="I19" s="8"/>
      <c r="J19" s="8"/>
      <c r="K19" s="8"/>
      <c r="L19" s="8"/>
      <c r="M19" s="8"/>
    </row>
    <row r="20" spans="1:13" ht="15.9" customHeight="1">
      <c r="A20" s="213" t="str">
        <f>IF(Успеваемость!M$11="", "", Успеваемость!M$11)</f>
        <v>родной язык</v>
      </c>
      <c r="B20" s="213"/>
      <c r="C20" s="213"/>
      <c r="D20" s="213"/>
      <c r="E20" s="213"/>
      <c r="F20" s="213"/>
      <c r="G20" s="213"/>
      <c r="H20" s="47">
        <f>IF(A20="", "",LOOKUP($B$5,Успеваемость!$A$12:$A$42,Успеваемость!M$12:M$42))</f>
        <v>4</v>
      </c>
      <c r="I20" s="8"/>
      <c r="J20" s="8"/>
      <c r="K20" s="8"/>
      <c r="L20" s="8"/>
      <c r="M20" s="8"/>
    </row>
    <row r="21" spans="1:13" ht="15.6">
      <c r="A21" s="213" t="str">
        <f>IF(Успеваемость!N$11="", "", Успеваемость!N$11)</f>
        <v/>
      </c>
      <c r="B21" s="213"/>
      <c r="C21" s="213"/>
      <c r="D21" s="213"/>
      <c r="E21" s="213"/>
      <c r="F21" s="213"/>
      <c r="G21" s="213"/>
      <c r="H21" s="47" t="str">
        <f>IF(A21="", "",LOOKUP($B$5,Успеваемость!$A$12:$A$42,Успеваемость!N$12:N$42))</f>
        <v/>
      </c>
      <c r="I21" s="8"/>
      <c r="J21" s="8"/>
      <c r="K21" s="8"/>
      <c r="L21" s="8"/>
      <c r="M21" s="8"/>
    </row>
    <row r="22" spans="1:13" ht="15.6">
      <c r="A22" s="213" t="str">
        <f>IF(Успеваемость!O$11="", "", Успеваемость!O$11)</f>
        <v/>
      </c>
      <c r="B22" s="213"/>
      <c r="C22" s="213"/>
      <c r="D22" s="213"/>
      <c r="E22" s="213"/>
      <c r="F22" s="213"/>
      <c r="G22" s="213"/>
      <c r="H22" s="47" t="str">
        <f>IF(A22="", "",LOOKUP($B$5,Успеваемость!$A$12:$A$42,Успеваемость!O$12:O$42))</f>
        <v/>
      </c>
      <c r="I22" s="8"/>
      <c r="J22" s="8"/>
      <c r="K22" s="8"/>
      <c r="L22" s="8"/>
      <c r="M22" s="8"/>
    </row>
    <row r="23" spans="1:13" ht="15.6">
      <c r="A23" s="104" t="s">
        <v>57</v>
      </c>
      <c r="B23" s="8" t="str">
        <f>C3</f>
        <v>апрель</v>
      </c>
      <c r="C23" s="8"/>
      <c r="D23" s="8"/>
      <c r="E23" s="8"/>
      <c r="F23" s="8"/>
      <c r="G23" s="8"/>
      <c r="H23" s="85"/>
      <c r="I23" s="8"/>
      <c r="J23" s="8"/>
      <c r="K23" s="8"/>
      <c r="L23" s="8"/>
      <c r="M23" s="8"/>
    </row>
    <row r="24" spans="1:13" ht="15.6">
      <c r="A24" s="219" t="s">
        <v>49</v>
      </c>
      <c r="B24" s="219"/>
      <c r="C24" s="219"/>
      <c r="D24" s="219"/>
      <c r="E24" s="219"/>
      <c r="F24" s="219"/>
      <c r="G24" s="219"/>
      <c r="H24" s="84">
        <f>LOOKUP(B5,Посещаемость!A15:A45,Посещаемость!BH15:BH45)</f>
        <v>26</v>
      </c>
      <c r="I24" s="8"/>
      <c r="J24" s="8"/>
      <c r="K24" s="8"/>
      <c r="L24" s="8"/>
      <c r="M24" s="8"/>
    </row>
    <row r="25" spans="1:13" ht="15.6">
      <c r="A25" s="220" t="s">
        <v>50</v>
      </c>
      <c r="B25" s="220"/>
      <c r="C25" s="220"/>
      <c r="D25" s="220"/>
      <c r="E25" s="220"/>
      <c r="F25" s="220"/>
      <c r="G25" s="220"/>
      <c r="H25" s="84">
        <f>LOOKUP(B5,Посещаемость!A15:A45,Посещаемость!BG15:BG45)</f>
        <v>18</v>
      </c>
      <c r="I25" s="8"/>
      <c r="J25" s="8"/>
      <c r="K25" s="8"/>
      <c r="L25" s="8"/>
      <c r="M25" s="8"/>
    </row>
    <row r="26" spans="1:13" ht="15.6">
      <c r="A26" s="8"/>
      <c r="B26" s="8"/>
      <c r="C26" s="8"/>
      <c r="D26" s="8"/>
      <c r="E26" s="8"/>
      <c r="F26" s="8"/>
      <c r="G26" s="8"/>
      <c r="H26" s="44"/>
      <c r="I26" s="8"/>
      <c r="J26" s="8"/>
      <c r="K26" s="8"/>
      <c r="L26" s="8"/>
      <c r="M26" s="8"/>
    </row>
    <row r="27" spans="1:13" ht="15.6">
      <c r="A27" s="215" t="s">
        <v>31</v>
      </c>
      <c r="B27" s="215"/>
      <c r="C27" s="215"/>
      <c r="D27" s="221"/>
      <c r="E27" s="221"/>
      <c r="F27" s="215" t="s">
        <v>102</v>
      </c>
      <c r="G27" s="215"/>
      <c r="H27" s="21"/>
      <c r="I27" s="8"/>
      <c r="J27" s="8"/>
      <c r="K27" s="8"/>
      <c r="L27" s="8"/>
      <c r="M27" s="8"/>
    </row>
    <row r="28" spans="1:13" ht="15.6">
      <c r="I28" s="8"/>
      <c r="J28" s="8"/>
      <c r="K28" s="8"/>
      <c r="L28" s="8"/>
      <c r="M28" s="8"/>
    </row>
    <row r="29" spans="1:13" ht="15.6">
      <c r="A29" s="165"/>
      <c r="B29" s="165"/>
      <c r="C29" s="165"/>
      <c r="D29" s="165"/>
      <c r="E29" s="165"/>
      <c r="F29" s="165"/>
      <c r="G29" s="165"/>
      <c r="H29" s="165"/>
      <c r="I29" s="8"/>
      <c r="J29" s="8"/>
      <c r="K29" s="8"/>
      <c r="L29" s="8"/>
      <c r="M29" s="8"/>
    </row>
    <row r="30" spans="1:13" ht="15.6">
      <c r="B30" s="45"/>
      <c r="C30" s="46"/>
      <c r="D30" s="43"/>
      <c r="G30" s="8"/>
      <c r="H30" s="8"/>
      <c r="I30" s="8"/>
      <c r="J30" s="8"/>
      <c r="K30" s="8"/>
      <c r="L30" s="8"/>
      <c r="M30" s="8"/>
    </row>
    <row r="31" spans="1:13" ht="15.75" customHeight="1">
      <c r="A31" s="45"/>
      <c r="B31" s="46"/>
      <c r="C31" s="43"/>
      <c r="G31" s="8"/>
      <c r="H31" s="8"/>
      <c r="I31" s="21"/>
      <c r="J31" s="21"/>
      <c r="K31" s="8"/>
      <c r="L31" s="8"/>
      <c r="M31" s="8"/>
    </row>
    <row r="32" spans="1:13" ht="60.75" customHeight="1">
      <c r="A32" s="44"/>
      <c r="B32" s="48"/>
      <c r="C32" s="44"/>
      <c r="D32" s="44"/>
      <c r="E32" s="44"/>
      <c r="F32" s="44"/>
      <c r="G32" s="44"/>
      <c r="H32" s="44"/>
      <c r="I32" s="8"/>
      <c r="J32" s="8"/>
      <c r="K32" s="8"/>
      <c r="L32" s="8"/>
      <c r="M32" s="8"/>
    </row>
    <row r="33" spans="1:13" ht="15.6">
      <c r="A33" s="44"/>
      <c r="B33" s="43"/>
      <c r="C33" s="43"/>
      <c r="D33" s="43"/>
      <c r="E33" s="43"/>
      <c r="F33" s="43"/>
      <c r="G33" s="43"/>
      <c r="H33" s="43"/>
      <c r="I33" s="8"/>
      <c r="J33" s="8"/>
      <c r="K33" s="8"/>
      <c r="L33" s="8"/>
      <c r="M33" s="8"/>
    </row>
    <row r="34" spans="1:13" ht="15.6">
      <c r="A34" s="44"/>
      <c r="B34" s="44"/>
      <c r="C34" s="44"/>
      <c r="D34" s="43"/>
      <c r="E34" s="43"/>
      <c r="F34" s="43"/>
      <c r="G34" s="43"/>
      <c r="H34" s="43"/>
      <c r="I34" s="8"/>
      <c r="J34" s="8"/>
      <c r="K34" s="8"/>
      <c r="L34" s="8"/>
      <c r="M34" s="8"/>
    </row>
    <row r="35" spans="1:13" ht="15.6">
      <c r="A35" s="44"/>
      <c r="B35" s="43"/>
      <c r="C35" s="43"/>
      <c r="D35" s="43"/>
      <c r="E35" s="43"/>
      <c r="F35" s="43"/>
      <c r="G35" s="43"/>
      <c r="H35" s="43"/>
    </row>
    <row r="36" spans="1:13" ht="15.6">
      <c r="A36" s="165"/>
      <c r="B36" s="165"/>
      <c r="C36" s="165"/>
      <c r="D36" s="165"/>
      <c r="E36" s="165"/>
      <c r="F36" s="165"/>
      <c r="G36" s="165"/>
      <c r="H36" s="91"/>
    </row>
    <row r="37" spans="1:13" ht="15.6">
      <c r="A37" s="216"/>
      <c r="B37" s="216"/>
      <c r="C37" s="216"/>
      <c r="D37" s="216"/>
      <c r="E37" s="216"/>
      <c r="F37" s="216"/>
      <c r="G37" s="216"/>
      <c r="H37" s="11"/>
    </row>
    <row r="38" spans="1:13" ht="15.6">
      <c r="A38" s="216"/>
      <c r="B38" s="216"/>
      <c r="C38" s="216"/>
      <c r="D38" s="216"/>
      <c r="E38" s="216"/>
      <c r="F38" s="216"/>
      <c r="G38" s="216"/>
      <c r="H38" s="11"/>
    </row>
    <row r="39" spans="1:13" ht="15.6">
      <c r="A39" s="216"/>
      <c r="B39" s="216"/>
      <c r="C39" s="216"/>
      <c r="D39" s="216"/>
      <c r="E39" s="216"/>
      <c r="F39" s="216"/>
      <c r="G39" s="216"/>
      <c r="H39" s="11"/>
    </row>
    <row r="40" spans="1:13" ht="15.6">
      <c r="A40" s="216"/>
      <c r="B40" s="216"/>
      <c r="C40" s="216"/>
      <c r="D40" s="216"/>
      <c r="E40" s="216"/>
      <c r="F40" s="216"/>
      <c r="G40" s="216"/>
      <c r="H40" s="11"/>
    </row>
    <row r="41" spans="1:13" ht="15" customHeight="1">
      <c r="A41" s="216"/>
      <c r="B41" s="216"/>
      <c r="C41" s="216"/>
      <c r="D41" s="216"/>
      <c r="E41" s="216"/>
      <c r="F41" s="216"/>
      <c r="G41" s="216"/>
      <c r="H41" s="11"/>
    </row>
    <row r="42" spans="1:13" ht="15" customHeight="1">
      <c r="A42" s="216"/>
      <c r="B42" s="216"/>
      <c r="C42" s="216"/>
      <c r="D42" s="216"/>
      <c r="E42" s="216"/>
      <c r="F42" s="216"/>
      <c r="G42" s="216"/>
      <c r="H42" s="11"/>
    </row>
    <row r="43" spans="1:13" ht="15" customHeight="1">
      <c r="A43" s="216"/>
      <c r="B43" s="216"/>
      <c r="C43" s="216"/>
      <c r="D43" s="216"/>
      <c r="E43" s="216"/>
      <c r="F43" s="216"/>
      <c r="G43" s="216"/>
      <c r="H43" s="11"/>
    </row>
    <row r="44" spans="1:13" ht="15" customHeight="1">
      <c r="A44" s="216"/>
      <c r="B44" s="216"/>
      <c r="C44" s="216"/>
      <c r="D44" s="216"/>
      <c r="E44" s="216"/>
      <c r="F44" s="216"/>
      <c r="G44" s="216"/>
      <c r="H44" s="11"/>
    </row>
    <row r="45" spans="1:13" ht="15" customHeight="1">
      <c r="A45" s="216"/>
      <c r="B45" s="216"/>
      <c r="C45" s="216"/>
      <c r="D45" s="216"/>
      <c r="E45" s="216"/>
      <c r="F45" s="216"/>
      <c r="G45" s="216"/>
      <c r="H45" s="11"/>
    </row>
    <row r="46" spans="1:13" ht="15" customHeight="1">
      <c r="A46" s="216"/>
      <c r="B46" s="216"/>
      <c r="C46" s="216"/>
      <c r="D46" s="216"/>
      <c r="E46" s="216"/>
      <c r="F46" s="216"/>
      <c r="G46" s="216"/>
      <c r="H46" s="11"/>
    </row>
    <row r="47" spans="1:13" ht="15" customHeight="1">
      <c r="A47" s="216"/>
      <c r="B47" s="216"/>
      <c r="C47" s="216"/>
      <c r="D47" s="216"/>
      <c r="E47" s="216"/>
      <c r="F47" s="216"/>
      <c r="G47" s="216"/>
      <c r="H47" s="11"/>
    </row>
    <row r="48" spans="1:13" ht="15.6">
      <c r="A48" s="216"/>
      <c r="B48" s="216"/>
      <c r="C48" s="216"/>
      <c r="D48" s="216"/>
      <c r="E48" s="216"/>
      <c r="F48" s="216"/>
      <c r="G48" s="216"/>
      <c r="H48" s="11"/>
    </row>
    <row r="49" spans="1:8" ht="15.6">
      <c r="A49" s="216"/>
      <c r="B49" s="216"/>
      <c r="C49" s="216"/>
      <c r="D49" s="216"/>
      <c r="E49" s="216"/>
      <c r="F49" s="216"/>
      <c r="G49" s="216"/>
      <c r="H49" s="11"/>
    </row>
    <row r="50" spans="1:8" ht="15.6">
      <c r="A50" s="216"/>
      <c r="B50" s="216"/>
      <c r="C50" s="216"/>
      <c r="D50" s="216"/>
      <c r="E50" s="216"/>
      <c r="F50" s="216"/>
      <c r="G50" s="216"/>
      <c r="H50" s="11"/>
    </row>
    <row r="51" spans="1:8" ht="15.6">
      <c r="A51" s="216"/>
      <c r="B51" s="216"/>
      <c r="C51" s="216"/>
      <c r="D51" s="216"/>
      <c r="E51" s="216"/>
      <c r="F51" s="216"/>
      <c r="G51" s="216"/>
      <c r="H51" s="11"/>
    </row>
    <row r="52" spans="1:8" ht="15.6">
      <c r="A52" s="216"/>
      <c r="B52" s="216"/>
      <c r="C52" s="216"/>
      <c r="D52" s="216"/>
      <c r="E52" s="216"/>
      <c r="F52" s="216"/>
      <c r="G52" s="216"/>
      <c r="H52" s="11"/>
    </row>
    <row r="53" spans="1:8" ht="15.6">
      <c r="A53" s="216"/>
      <c r="B53" s="216"/>
      <c r="C53" s="216"/>
      <c r="D53" s="216"/>
      <c r="E53" s="216"/>
      <c r="F53" s="216"/>
      <c r="G53" s="216"/>
      <c r="H53" s="11"/>
    </row>
    <row r="54" spans="1:8" ht="15.6">
      <c r="A54" s="8"/>
      <c r="B54" s="8"/>
      <c r="C54" s="8"/>
      <c r="D54" s="8"/>
      <c r="E54" s="8"/>
      <c r="F54" s="8"/>
      <c r="G54" s="8"/>
      <c r="H54" s="8"/>
    </row>
    <row r="55" spans="1:8" ht="15.6">
      <c r="A55" s="217"/>
      <c r="B55" s="217"/>
      <c r="C55" s="217"/>
      <c r="D55" s="217"/>
      <c r="E55" s="217"/>
      <c r="F55" s="217"/>
      <c r="G55" s="217"/>
      <c r="H55" s="11"/>
    </row>
    <row r="56" spans="1:8" ht="15.6">
      <c r="A56" s="218"/>
      <c r="B56" s="218"/>
      <c r="C56" s="218"/>
      <c r="D56" s="218"/>
      <c r="E56" s="218"/>
      <c r="F56" s="218"/>
      <c r="G56" s="218"/>
      <c r="H56" s="11"/>
    </row>
    <row r="58" spans="1:8" ht="15.6">
      <c r="A58" s="215"/>
      <c r="B58" s="215"/>
      <c r="C58" s="215"/>
      <c r="D58" s="215"/>
      <c r="E58" s="215"/>
      <c r="F58" s="215"/>
      <c r="G58" s="215"/>
      <c r="H58" s="21"/>
    </row>
  </sheetData>
  <sheetProtection selectLockedCells="1"/>
  <mergeCells count="44"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2:H2"/>
    <mergeCell ref="A10:G10"/>
    <mergeCell ref="A11:G11"/>
    <mergeCell ref="A12:G12"/>
    <mergeCell ref="A20:G20"/>
    <mergeCell ref="A15:G15"/>
    <mergeCell ref="A16:G16"/>
    <mergeCell ref="A17:G17"/>
    <mergeCell ref="A21:G21"/>
    <mergeCell ref="A18:G18"/>
    <mergeCell ref="A22:G22"/>
    <mergeCell ref="A9:G9"/>
    <mergeCell ref="A19:G19"/>
    <mergeCell ref="A13:G13"/>
    <mergeCell ref="A14:G14"/>
  </mergeCells>
  <pageMargins left="1.0236220472440944" right="0.23622047244094491" top="0.39370078740157483" bottom="0.39370078740157483" header="0" footer="0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2023-04-05T14:05:43Z</cp:lastPrinted>
  <dcterms:created xsi:type="dcterms:W3CDTF">2015-09-28T07:34:21Z</dcterms:created>
  <dcterms:modified xsi:type="dcterms:W3CDTF">2023-04-29T18:59:26Z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